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arametros" sheetId="2" state="visible" r:id="rId2"/>
    <sheet name="Cronograma_5D" sheetId="3" state="visible" r:id="rId3"/>
    <sheet name="Avance_Mens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Puente Charanal – Control 5D (BIM 4D/5D)</t>
        </is>
      </c>
    </row>
    <row r="2">
      <c r="A2" t="inlineStr">
        <is>
          <t>Generado automáticamente desde la base de datos (obra_control). Refleja el avance real registrado en Parte Diario.</t>
        </is>
      </c>
    </row>
    <row r="4">
      <c r="A4" s="2" t="inlineStr">
        <is>
          <t>Hojas</t>
        </is>
      </c>
    </row>
    <row r="5">
      <c r="A5" t="inlineStr">
        <is>
          <t>Parametros</t>
        </is>
      </c>
      <c r="B5" t="inlineStr">
        <is>
          <t>Datos generales, fecha de corte y umbral de atraso.</t>
        </is>
      </c>
    </row>
    <row r="6">
      <c r="A6" t="inlineStr">
        <is>
          <t>Cronograma_5D</t>
        </is>
      </c>
      <c r="B6" t="inlineStr">
        <is>
          <t>Programación (inicio/fin), metrados y presupuesto por tarea (WBS), leídos de la tabla partidas.</t>
        </is>
      </c>
    </row>
    <row r="7">
      <c r="A7" t="inlineStr">
        <is>
          <t>Avance_Mensual</t>
        </is>
      </c>
      <c r="B7" t="inlineStr">
        <is>
          <t>% de avance físico real acumulado por tarea y corte, calculado desde partes_diarios.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Parámetros generales</t>
        </is>
      </c>
    </row>
    <row r="4">
      <c r="A4" t="inlineStr">
        <is>
          <t>Proyecto</t>
        </is>
      </c>
      <c r="B4" t="inlineStr">
        <is>
          <t>Puente Charanal</t>
        </is>
      </c>
    </row>
    <row r="5">
      <c r="A5" t="inlineStr">
        <is>
          <t>Subtítulo</t>
        </is>
      </c>
      <c r="B5" t="inlineStr">
        <is>
          <t>Control de Avance Técnico &amp; Financiero</t>
        </is>
      </c>
    </row>
    <row r="6">
      <c r="A6" t="inlineStr">
        <is>
          <t>Modalidad</t>
        </is>
      </c>
      <c r="B6" t="inlineStr">
        <is>
          <t>LicitaciÃ³n Directa Obra</t>
        </is>
      </c>
    </row>
    <row r="7">
      <c r="A7" t="inlineStr">
        <is>
          <t>Moneda</t>
        </is>
      </c>
      <c r="B7" t="inlineStr">
        <is>
          <t>S/.</t>
        </is>
      </c>
    </row>
    <row r="8">
      <c r="A8" t="inlineStr">
        <is>
          <t>Fecha inicio</t>
        </is>
      </c>
      <c r="B8" s="4" t="n">
        <v>46023</v>
      </c>
    </row>
    <row r="9">
      <c r="A9" t="inlineStr">
        <is>
          <t>Fecha fin</t>
        </is>
      </c>
      <c r="B9" s="4" t="n">
        <v>46326</v>
      </c>
    </row>
    <row r="10">
      <c r="A10" t="inlineStr">
        <is>
          <t>Fecha de corte</t>
        </is>
      </c>
      <c r="B10" s="4" t="n">
        <v>46287</v>
      </c>
    </row>
    <row r="11">
      <c r="A11" t="inlineStr">
        <is>
          <t>Umbral atraso (pts %)</t>
        </is>
      </c>
      <c r="B1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Cronograma 5D – programación, metrados BIM y presupuesto</t>
        </is>
      </c>
    </row>
    <row r="2">
      <c r="A2" t="inlineStr">
        <is>
          <t>Generado desde la base de datos. Metrado y precio unitario ya reflejan el estado real (tabla partidas).</t>
        </is>
      </c>
    </row>
    <row r="4">
      <c r="A4" s="2" t="inlineStr">
        <is>
          <t>ID</t>
        </is>
      </c>
      <c r="B4" s="2" t="inlineStr">
        <is>
          <t>WBS</t>
        </is>
      </c>
      <c r="C4" s="2" t="inlineStr">
        <is>
          <t>Tarea</t>
        </is>
      </c>
      <c r="D4" s="2" t="inlineStr">
        <is>
          <t>Ubicación</t>
        </is>
      </c>
      <c r="E4" s="2" t="inlineStr">
        <is>
          <t>Elementos BIM</t>
        </is>
      </c>
      <c r="F4" s="2" t="inlineStr">
        <is>
          <t>Concreto (m³)</t>
        </is>
      </c>
      <c r="G4" s="2" t="inlineStr">
        <is>
          <t>Acero (kg)</t>
        </is>
      </c>
      <c r="H4" s="2" t="inlineStr">
        <is>
          <t>Otros (und)</t>
        </is>
      </c>
      <c r="I4" s="2" t="inlineStr">
        <is>
          <t>P.U. concreto (S/m³)</t>
        </is>
      </c>
      <c r="J4" s="2" t="inlineStr">
        <is>
          <t>P.U. acero (S/kg)</t>
        </is>
      </c>
      <c r="K4" s="2" t="inlineStr">
        <is>
          <t>P.U. otros (S/und)</t>
        </is>
      </c>
      <c r="L4" s="2" t="inlineStr">
        <is>
          <t>Costo fijo (S/)</t>
        </is>
      </c>
      <c r="M4" s="2" t="inlineStr">
        <is>
          <t>Presupuesto (S/)</t>
        </is>
      </c>
      <c r="N4" s="2" t="inlineStr">
        <is>
          <t>Inicio prog.</t>
        </is>
      </c>
      <c r="O4" s="2" t="inlineStr">
        <is>
          <t>Fin prog.</t>
        </is>
      </c>
      <c r="P4" s="2" t="inlineStr">
        <is>
          <t>Duración (d)</t>
        </is>
      </c>
      <c r="Q4" s="2" t="inlineStr">
        <is>
          <t>Predecesora</t>
        </is>
      </c>
    </row>
    <row r="5">
      <c r="A5" t="inlineStr">
        <is>
          <t>BLQ-MD</t>
        </is>
      </c>
      <c r="B5" t="inlineStr">
        <is>
          <t>1.1.7</t>
        </is>
      </c>
      <c r="C5" t="inlineStr">
        <is>
          <t>Bloque y mÃ©nsula</t>
        </is>
      </c>
      <c r="D5" t="inlineStr">
        <is>
          <t>Margen Derecha</t>
        </is>
      </c>
      <c r="F5" t="n">
        <v>12.95</v>
      </c>
      <c r="G5" t="n">
        <v>0</v>
      </c>
      <c r="H5" t="n">
        <v>0</v>
      </c>
      <c r="I5" t="n">
        <v>340</v>
      </c>
      <c r="J5" t="n">
        <v>0</v>
      </c>
      <c r="K5" t="n">
        <v>0</v>
      </c>
      <c r="L5" t="n">
        <v>0</v>
      </c>
      <c r="M5">
        <f>F5*I5+G5*J5+H5*K5+L5</f>
        <v/>
      </c>
      <c r="N5" s="4" t="n">
        <v>46183</v>
      </c>
      <c r="O5" s="4" t="n">
        <v>46203</v>
      </c>
      <c r="P5">
        <f>O5-N5+1</f>
        <v/>
      </c>
      <c r="Q5" t="inlineStr">
        <is>
          <t>MUR-MD</t>
        </is>
      </c>
    </row>
    <row r="6">
      <c r="A6" t="inlineStr">
        <is>
          <t>BLQ-MI</t>
        </is>
      </c>
      <c r="B6" t="inlineStr">
        <is>
          <t>1.2.7</t>
        </is>
      </c>
      <c r="C6" t="inlineStr">
        <is>
          <t>Bloque y mÃ©nsula</t>
        </is>
      </c>
      <c r="D6" t="inlineStr">
        <is>
          <t>Margen Izquierda</t>
        </is>
      </c>
      <c r="F6" t="n">
        <v>12.95</v>
      </c>
      <c r="G6" t="n">
        <v>0</v>
      </c>
      <c r="H6" t="n">
        <v>0</v>
      </c>
      <c r="I6" t="n">
        <v>340</v>
      </c>
      <c r="J6" t="n">
        <v>0</v>
      </c>
      <c r="K6" t="n">
        <v>0</v>
      </c>
      <c r="L6" t="n">
        <v>0</v>
      </c>
      <c r="M6">
        <f>F6*I6+G6*J6+H6*K6+L6</f>
        <v/>
      </c>
      <c r="N6" s="4" t="n">
        <v>46198</v>
      </c>
      <c r="O6" s="4" t="n">
        <v>46218</v>
      </c>
      <c r="P6">
        <f>O6-N6+1</f>
        <v/>
      </c>
      <c r="Q6" t="inlineStr">
        <is>
          <t>MUR-MI</t>
        </is>
      </c>
    </row>
    <row r="7">
      <c r="A7" t="inlineStr">
        <is>
          <t>CAB-MD</t>
        </is>
      </c>
      <c r="B7" t="inlineStr">
        <is>
          <t>1.1.4</t>
        </is>
      </c>
      <c r="C7" t="inlineStr">
        <is>
          <t>Cabezal</t>
        </is>
      </c>
      <c r="D7" t="inlineStr">
        <is>
          <t>Margen Derecha</t>
        </is>
      </c>
      <c r="F7" t="n">
        <v>714</v>
      </c>
      <c r="G7" t="n">
        <v>0</v>
      </c>
      <c r="H7" t="n">
        <v>0</v>
      </c>
      <c r="I7" t="n">
        <v>967.51</v>
      </c>
      <c r="J7" t="n">
        <v>0</v>
      </c>
      <c r="K7" t="n">
        <v>0</v>
      </c>
      <c r="L7" t="n">
        <v>0</v>
      </c>
      <c r="M7">
        <f>F7*I7+G7*J7+H7*K7+L7</f>
        <v/>
      </c>
      <c r="N7" s="4" t="n">
        <v>46091</v>
      </c>
      <c r="O7" s="4" t="n">
        <v>46122</v>
      </c>
      <c r="P7">
        <f>O7-N7+1</f>
        <v/>
      </c>
      <c r="Q7" t="inlineStr">
        <is>
          <t>SOL-MD</t>
        </is>
      </c>
    </row>
    <row r="8">
      <c r="A8" t="inlineStr">
        <is>
          <t>CAB-MI</t>
        </is>
      </c>
      <c r="B8" t="inlineStr">
        <is>
          <t>1.2.4</t>
        </is>
      </c>
      <c r="C8" t="inlineStr">
        <is>
          <t>Cabezal</t>
        </is>
      </c>
      <c r="D8" t="inlineStr">
        <is>
          <t>Margen Izquierda</t>
        </is>
      </c>
      <c r="F8" t="n">
        <v>714</v>
      </c>
      <c r="G8" t="n">
        <v>0</v>
      </c>
      <c r="H8" t="n">
        <v>0</v>
      </c>
      <c r="I8" t="n">
        <v>967.51</v>
      </c>
      <c r="J8" t="n">
        <v>0</v>
      </c>
      <c r="K8" t="n">
        <v>0</v>
      </c>
      <c r="L8" t="n">
        <v>0</v>
      </c>
      <c r="M8">
        <f>F8*I8+G8*J8+H8*K8+L8</f>
        <v/>
      </c>
      <c r="N8" s="4" t="n">
        <v>46107</v>
      </c>
      <c r="O8" s="4" t="n">
        <v>46137</v>
      </c>
      <c r="P8">
        <f>O8-N8+1</f>
        <v/>
      </c>
      <c r="Q8" t="inlineStr">
        <is>
          <t>SOL-MI</t>
        </is>
      </c>
    </row>
    <row r="9">
      <c r="A9" t="inlineStr">
        <is>
          <t>COL-MD</t>
        </is>
      </c>
      <c r="B9" t="inlineStr">
        <is>
          <t>1.1.5</t>
        </is>
      </c>
      <c r="C9" t="inlineStr">
        <is>
          <t>Columna y tirante</t>
        </is>
      </c>
      <c r="D9" t="inlineStr">
        <is>
          <t>Margen Derecha</t>
        </is>
      </c>
      <c r="F9" t="n">
        <v>75.54000000000001</v>
      </c>
      <c r="G9" t="n">
        <v>0</v>
      </c>
      <c r="H9" t="n">
        <v>0</v>
      </c>
      <c r="I9" t="n">
        <v>1608.99</v>
      </c>
      <c r="J9" t="n">
        <v>0</v>
      </c>
      <c r="K9" t="n">
        <v>0</v>
      </c>
      <c r="L9" t="n">
        <v>0</v>
      </c>
      <c r="M9">
        <f>F9*I9+G9*J9+H9*K9+L9</f>
        <v/>
      </c>
      <c r="N9" s="4" t="n">
        <v>46123</v>
      </c>
      <c r="O9" s="4" t="n">
        <v>46152</v>
      </c>
      <c r="P9">
        <f>O9-N9+1</f>
        <v/>
      </c>
      <c r="Q9" t="inlineStr">
        <is>
          <t>CAB-MD</t>
        </is>
      </c>
    </row>
    <row r="10">
      <c r="A10" t="inlineStr">
        <is>
          <t>COL-MI</t>
        </is>
      </c>
      <c r="B10" t="inlineStr">
        <is>
          <t>1.2.5</t>
        </is>
      </c>
      <c r="C10" t="inlineStr">
        <is>
          <t>Columna y tirante</t>
        </is>
      </c>
      <c r="D10" t="inlineStr">
        <is>
          <t>Margen Izquierda</t>
        </is>
      </c>
      <c r="F10" t="n">
        <v>75.54000000000001</v>
      </c>
      <c r="G10" t="n">
        <v>0</v>
      </c>
      <c r="H10" t="n">
        <v>0</v>
      </c>
      <c r="I10" t="n">
        <v>1608.99</v>
      </c>
      <c r="J10" t="n">
        <v>0</v>
      </c>
      <c r="K10" t="n">
        <v>0</v>
      </c>
      <c r="L10" t="n">
        <v>0</v>
      </c>
      <c r="M10">
        <f>F10*I10+G10*J10+H10*K10+L10</f>
        <v/>
      </c>
      <c r="N10" s="4" t="n">
        <v>46138</v>
      </c>
      <c r="O10" s="4" t="n">
        <v>46167</v>
      </c>
      <c r="P10">
        <f>O10-N10+1</f>
        <v/>
      </c>
      <c r="Q10" t="inlineStr">
        <is>
          <t>CAB-MI</t>
        </is>
      </c>
    </row>
    <row r="11">
      <c r="A11" t="inlineStr">
        <is>
          <t>DRE-MD</t>
        </is>
      </c>
      <c r="B11" t="inlineStr">
        <is>
          <t>1.1.9</t>
        </is>
      </c>
      <c r="C11" t="inlineStr">
        <is>
          <t>Drenaje PVC Ã˜4"</t>
        </is>
      </c>
      <c r="D11" t="inlineStr">
        <is>
          <t>Margen Derecha</t>
        </is>
      </c>
      <c r="F11" t="n">
        <v>0</v>
      </c>
      <c r="G11" t="n">
        <v>0</v>
      </c>
      <c r="H11" t="n">
        <v>32</v>
      </c>
      <c r="I11" t="n">
        <v>0</v>
      </c>
      <c r="J11" t="n">
        <v>0</v>
      </c>
      <c r="K11" t="n">
        <v>145</v>
      </c>
      <c r="L11" t="n">
        <v>0</v>
      </c>
      <c r="M11">
        <f>F11*I11+G11*J11+H11*K11+L11</f>
        <v/>
      </c>
      <c r="N11" s="4" t="n">
        <v>46188</v>
      </c>
      <c r="O11" s="4" t="n">
        <v>46213</v>
      </c>
      <c r="P11">
        <f>O11-N11+1</f>
        <v/>
      </c>
      <c r="Q11" t="inlineStr">
        <is>
          <t>MUR-MD</t>
        </is>
      </c>
    </row>
    <row r="12">
      <c r="A12" t="inlineStr">
        <is>
          <t>MUR-MD</t>
        </is>
      </c>
      <c r="B12" t="inlineStr">
        <is>
          <t>1.1.6</t>
        </is>
      </c>
      <c r="C12" t="inlineStr">
        <is>
          <t>Muros del estribo</t>
        </is>
      </c>
      <c r="D12" t="inlineStr">
        <is>
          <t>Margen Derecha</t>
        </is>
      </c>
      <c r="F12" t="n">
        <v>0</v>
      </c>
      <c r="G12" t="n">
        <v>69981</v>
      </c>
      <c r="H12" t="n">
        <v>0</v>
      </c>
      <c r="I12" t="n">
        <v>0</v>
      </c>
      <c r="J12" t="n">
        <v>10.01</v>
      </c>
      <c r="K12" t="n">
        <v>0</v>
      </c>
      <c r="L12" t="n">
        <v>0</v>
      </c>
      <c r="M12">
        <f>F12*I12+G12*J12+H12*K12+L12</f>
        <v/>
      </c>
      <c r="N12" s="4" t="n">
        <v>46147</v>
      </c>
      <c r="O12" s="4" t="n">
        <v>46188</v>
      </c>
      <c r="P12">
        <f>O12-N12+1</f>
        <v/>
      </c>
      <c r="Q12" t="inlineStr">
        <is>
          <t>COL-MD</t>
        </is>
      </c>
    </row>
    <row r="13">
      <c r="A13" t="inlineStr">
        <is>
          <t>MUR-MI</t>
        </is>
      </c>
      <c r="B13" t="inlineStr">
        <is>
          <t>1.2.6</t>
        </is>
      </c>
      <c r="C13" t="inlineStr">
        <is>
          <t>Muros del estribo</t>
        </is>
      </c>
      <c r="D13" t="inlineStr">
        <is>
          <t>Margen Izquierda</t>
        </is>
      </c>
      <c r="F13" t="n">
        <v>0</v>
      </c>
      <c r="G13" t="n">
        <v>69981</v>
      </c>
      <c r="H13" t="n">
        <v>0</v>
      </c>
      <c r="I13" t="n">
        <v>0</v>
      </c>
      <c r="J13" t="n">
        <v>10.01</v>
      </c>
      <c r="K13" t="n">
        <v>0</v>
      </c>
      <c r="L13" t="n">
        <v>0</v>
      </c>
      <c r="M13">
        <f>F13*I13+G13*J13+H13*K13+L13</f>
        <v/>
      </c>
      <c r="N13" s="4" t="n">
        <v>46162</v>
      </c>
      <c r="O13" s="4" t="n">
        <v>46203</v>
      </c>
      <c r="P13">
        <f>O13-N13+1</f>
        <v/>
      </c>
      <c r="Q13" t="inlineStr">
        <is>
          <t>COL-MI</t>
        </is>
      </c>
    </row>
    <row r="14">
      <c r="A14" t="inlineStr">
        <is>
          <t>PCB-MD</t>
        </is>
      </c>
      <c r="B14" t="inlineStr">
        <is>
          <t>1.1.2</t>
        </is>
      </c>
      <c r="C14" t="inlineStr">
        <is>
          <t>Prueba de carga bidireccional</t>
        </is>
      </c>
      <c r="D14" t="inlineStr">
        <is>
          <t>Margen Derecha</t>
        </is>
      </c>
      <c r="F14" t="n">
        <v>0</v>
      </c>
      <c r="G14" t="n">
        <v>14585</v>
      </c>
      <c r="H14" t="n">
        <v>0</v>
      </c>
      <c r="I14" t="n">
        <v>0</v>
      </c>
      <c r="J14" t="n">
        <v>21.39</v>
      </c>
      <c r="K14" t="n">
        <v>0</v>
      </c>
      <c r="L14" t="n">
        <v>0</v>
      </c>
      <c r="M14">
        <f>F14*I14+G14*J14+H14*K14+L14</f>
        <v/>
      </c>
      <c r="N14" s="4" t="n">
        <v>46027</v>
      </c>
      <c r="O14" s="4" t="n">
        <v>46053</v>
      </c>
      <c r="P14">
        <f>O14-N14+1</f>
        <v/>
      </c>
    </row>
    <row r="15">
      <c r="A15" t="inlineStr">
        <is>
          <t>PCB-MI</t>
        </is>
      </c>
      <c r="B15" t="inlineStr">
        <is>
          <t>1.2.2</t>
        </is>
      </c>
      <c r="C15" t="inlineStr">
        <is>
          <t>Prueba de carga bidireccional</t>
        </is>
      </c>
      <c r="D15" t="inlineStr">
        <is>
          <t>Margen Izquierda</t>
        </is>
      </c>
      <c r="F15" t="n">
        <v>0</v>
      </c>
      <c r="G15" t="n">
        <v>12348</v>
      </c>
      <c r="H15" t="n">
        <v>0</v>
      </c>
      <c r="I15" t="n">
        <v>0</v>
      </c>
      <c r="J15" t="n">
        <v>22.37</v>
      </c>
      <c r="K15" t="n">
        <v>0</v>
      </c>
      <c r="L15" t="n">
        <v>0</v>
      </c>
      <c r="M15">
        <f>F15*I15+G15*J15+H15*K15+L15</f>
        <v/>
      </c>
      <c r="N15" s="4" t="n">
        <v>46034</v>
      </c>
      <c r="O15" s="4" t="n">
        <v>46059</v>
      </c>
      <c r="P15">
        <f>O15-N15+1</f>
        <v/>
      </c>
    </row>
    <row r="16">
      <c r="A16" t="inlineStr">
        <is>
          <t>PIL-MD</t>
        </is>
      </c>
      <c r="B16" t="inlineStr">
        <is>
          <t>1.1.1</t>
        </is>
      </c>
      <c r="C16" t="inlineStr">
        <is>
          <t>Pilotes de cimentaciÃ³n</t>
        </is>
      </c>
      <c r="D16" t="inlineStr">
        <is>
          <t>Margen Derecha</t>
        </is>
      </c>
      <c r="F16" t="n">
        <v>0</v>
      </c>
      <c r="G16" t="n">
        <v>292741</v>
      </c>
      <c r="H16" t="n">
        <v>0</v>
      </c>
      <c r="I16" t="n">
        <v>0</v>
      </c>
      <c r="J16" t="n">
        <v>11.43</v>
      </c>
      <c r="K16" t="n">
        <v>0</v>
      </c>
      <c r="L16" t="n">
        <v>0</v>
      </c>
      <c r="M16">
        <f>F16*I16+G16*J16+H16*K16+L16</f>
        <v/>
      </c>
      <c r="N16" s="4" t="n">
        <v>46027</v>
      </c>
      <c r="O16" s="4" t="n">
        <v>46081</v>
      </c>
      <c r="P16">
        <f>O16-N16+1</f>
        <v/>
      </c>
    </row>
    <row r="17">
      <c r="A17" t="inlineStr">
        <is>
          <t>PIL-MI</t>
        </is>
      </c>
      <c r="B17" t="inlineStr">
        <is>
          <t>1.2.1</t>
        </is>
      </c>
      <c r="C17" t="inlineStr">
        <is>
          <t>Pilotes de cimentaciÃ³n</t>
        </is>
      </c>
      <c r="D17" t="inlineStr">
        <is>
          <t>Margen Izquierda</t>
        </is>
      </c>
      <c r="F17" t="n">
        <v>0</v>
      </c>
      <c r="G17" t="n">
        <v>247959</v>
      </c>
      <c r="H17" t="n">
        <v>0</v>
      </c>
      <c r="I17" t="n">
        <v>0</v>
      </c>
      <c r="J17" t="n">
        <v>10.93</v>
      </c>
      <c r="K17" t="n">
        <v>0</v>
      </c>
      <c r="L17" t="n">
        <v>0</v>
      </c>
      <c r="M17">
        <f>F17*I17+G17*J17+H17*K17+L17</f>
        <v/>
      </c>
      <c r="N17" s="4" t="n">
        <v>46041</v>
      </c>
      <c r="O17" s="4" t="n">
        <v>46096</v>
      </c>
      <c r="P17">
        <f>O17-N17+1</f>
        <v/>
      </c>
    </row>
    <row r="18">
      <c r="A18" t="inlineStr">
        <is>
          <t>POS-MD</t>
        </is>
      </c>
      <c r="B18" t="inlineStr">
        <is>
          <t>1.1.8</t>
        </is>
      </c>
      <c r="C18" t="inlineStr">
        <is>
          <t>Postensado (ductos)</t>
        </is>
      </c>
      <c r="D18" t="inlineStr">
        <is>
          <t>Margen Derecha</t>
        </is>
      </c>
      <c r="F18" t="n">
        <v>0</v>
      </c>
      <c r="G18" t="n">
        <v>0</v>
      </c>
      <c r="H18" t="n">
        <v>24</v>
      </c>
      <c r="I18" t="n">
        <v>0</v>
      </c>
      <c r="J18" t="n">
        <v>0</v>
      </c>
      <c r="K18" t="n">
        <v>1050.05</v>
      </c>
      <c r="L18" t="n">
        <v>0</v>
      </c>
      <c r="M18">
        <f>F18*I18+G18*J18+H18*K18+L18</f>
        <v/>
      </c>
      <c r="N18" s="4" t="n">
        <v>46174</v>
      </c>
      <c r="O18" s="4" t="n">
        <v>46203</v>
      </c>
      <c r="P18">
        <f>O18-N18+1</f>
        <v/>
      </c>
      <c r="Q18" t="inlineStr">
        <is>
          <t>MUR-MD</t>
        </is>
      </c>
    </row>
    <row r="19">
      <c r="A19" t="inlineStr">
        <is>
          <t>POS-MI</t>
        </is>
      </c>
      <c r="B19" t="inlineStr">
        <is>
          <t>1.2.8</t>
        </is>
      </c>
      <c r="C19" t="inlineStr">
        <is>
          <t>Postensado (ductos)</t>
        </is>
      </c>
      <c r="D19" t="inlineStr">
        <is>
          <t>Margen Izquierda</t>
        </is>
      </c>
      <c r="F19" t="n">
        <v>0</v>
      </c>
      <c r="G19" t="n">
        <v>0</v>
      </c>
      <c r="H19" t="n">
        <v>24</v>
      </c>
      <c r="I19" t="n">
        <v>0</v>
      </c>
      <c r="J19" t="n">
        <v>0</v>
      </c>
      <c r="K19" t="n">
        <v>1050.05</v>
      </c>
      <c r="L19" t="n">
        <v>0</v>
      </c>
      <c r="M19">
        <f>F19*I19+G19*J19+H19*K19+L19</f>
        <v/>
      </c>
      <c r="N19" s="4" t="n">
        <v>46188</v>
      </c>
      <c r="O19" s="4" t="n">
        <v>46213</v>
      </c>
      <c r="P19">
        <f>O19-N19+1</f>
        <v/>
      </c>
      <c r="Q19" t="inlineStr">
        <is>
          <t>MUR-MI</t>
        </is>
      </c>
    </row>
    <row r="20">
      <c r="A20" t="inlineStr">
        <is>
          <t>SOL-MD</t>
        </is>
      </c>
      <c r="B20" t="inlineStr">
        <is>
          <t>1.1.3</t>
        </is>
      </c>
      <c r="C20" t="inlineStr">
        <is>
          <t>Solado</t>
        </is>
      </c>
      <c r="D20" t="inlineStr">
        <is>
          <t>Margen Derecha</t>
        </is>
      </c>
      <c r="F20" t="n">
        <v>18.04</v>
      </c>
      <c r="G20" t="n">
        <v>0</v>
      </c>
      <c r="H20" t="n">
        <v>0</v>
      </c>
      <c r="I20" t="n">
        <v>340</v>
      </c>
      <c r="J20" t="n">
        <v>0</v>
      </c>
      <c r="K20" t="n">
        <v>0</v>
      </c>
      <c r="L20" t="n">
        <v>0</v>
      </c>
      <c r="M20">
        <f>F20*I20+G20*J20+H20*K20+L20</f>
        <v/>
      </c>
      <c r="N20" s="4" t="n">
        <v>46083</v>
      </c>
      <c r="O20" s="4" t="n">
        <v>46091</v>
      </c>
      <c r="P20">
        <f>O20-N20+1</f>
        <v/>
      </c>
      <c r="Q20" t="inlineStr">
        <is>
          <t>PIL-MD</t>
        </is>
      </c>
    </row>
    <row r="21">
      <c r="A21" t="inlineStr">
        <is>
          <t>SOL-MI</t>
        </is>
      </c>
      <c r="B21" t="inlineStr">
        <is>
          <t>1.2.3</t>
        </is>
      </c>
      <c r="C21" t="inlineStr">
        <is>
          <t>Solado</t>
        </is>
      </c>
      <c r="D21" t="inlineStr">
        <is>
          <t>Margen Izquierda</t>
        </is>
      </c>
      <c r="F21" t="n">
        <v>18.04</v>
      </c>
      <c r="G21" t="n">
        <v>0</v>
      </c>
      <c r="H21" t="n">
        <v>0</v>
      </c>
      <c r="I21" t="n">
        <v>340</v>
      </c>
      <c r="J21" t="n">
        <v>0</v>
      </c>
      <c r="K21" t="n">
        <v>0</v>
      </c>
      <c r="L21" t="n">
        <v>0</v>
      </c>
      <c r="M21">
        <f>F21*I21+G21*J21+H21*K21+L21</f>
        <v/>
      </c>
      <c r="N21" s="4" t="n">
        <v>46097</v>
      </c>
      <c r="O21" s="4" t="n">
        <v>46106</v>
      </c>
      <c r="P21">
        <f>O21-N21+1</f>
        <v/>
      </c>
      <c r="Q21" t="inlineStr">
        <is>
          <t>PIL-MI</t>
        </is>
      </c>
    </row>
    <row r="22">
      <c r="A22" t="inlineStr">
        <is>
          <t>TAB-MD-D1</t>
        </is>
      </c>
      <c r="B22" t="inlineStr">
        <is>
          <t>2.1.1</t>
        </is>
      </c>
      <c r="C22" t="inlineStr">
        <is>
          <t>Dovela D1 (diafragma extremo)</t>
        </is>
      </c>
      <c r="D22" t="inlineStr">
        <is>
          <t>Margen Derecha</t>
        </is>
      </c>
      <c r="F22" t="n">
        <v>112.95</v>
      </c>
      <c r="G22" t="n">
        <v>0</v>
      </c>
      <c r="H22" t="n">
        <v>0</v>
      </c>
      <c r="I22" t="n">
        <v>1253.85</v>
      </c>
      <c r="J22" t="n">
        <v>0</v>
      </c>
      <c r="K22" t="n">
        <v>0</v>
      </c>
      <c r="L22" t="n">
        <v>0</v>
      </c>
      <c r="M22">
        <f>F22*I22+G22*J22+H22*K22+L22</f>
        <v/>
      </c>
      <c r="N22" s="4" t="n">
        <v>46204</v>
      </c>
      <c r="O22" s="4" t="n">
        <v>46218</v>
      </c>
      <c r="P22">
        <f>O22-N22+1</f>
        <v/>
      </c>
      <c r="Q22" t="inlineStr">
        <is>
          <t>BLQ-MD</t>
        </is>
      </c>
    </row>
    <row r="23">
      <c r="A23" t="inlineStr">
        <is>
          <t>TAB-MD-D2</t>
        </is>
      </c>
      <c r="B23" t="inlineStr">
        <is>
          <t>2.1.2</t>
        </is>
      </c>
      <c r="C23" t="inlineStr">
        <is>
          <t>Dovela D2 (sobre estribo)</t>
        </is>
      </c>
      <c r="D23" t="inlineStr">
        <is>
          <t>Margen Derecha</t>
        </is>
      </c>
      <c r="F23" t="n">
        <v>140.49</v>
      </c>
      <c r="G23" t="n">
        <v>0</v>
      </c>
      <c r="H23" t="n">
        <v>0</v>
      </c>
      <c r="I23" t="n">
        <v>1252.89</v>
      </c>
      <c r="J23" t="n">
        <v>0</v>
      </c>
      <c r="K23" t="n">
        <v>0</v>
      </c>
      <c r="L23" t="n">
        <v>0</v>
      </c>
      <c r="M23">
        <f>F23*I23+G23*J23+H23*K23+L23</f>
        <v/>
      </c>
      <c r="N23" s="4" t="n">
        <v>46216</v>
      </c>
      <c r="O23" s="4" t="n">
        <v>46234</v>
      </c>
      <c r="P23">
        <f>O23-N23+1</f>
        <v/>
      </c>
      <c r="Q23" t="inlineStr">
        <is>
          <t>TAB-MD-D1</t>
        </is>
      </c>
    </row>
    <row r="24">
      <c r="A24" t="inlineStr">
        <is>
          <t>TAB-MD-D3</t>
        </is>
      </c>
      <c r="B24" t="inlineStr">
        <is>
          <t>2.1.3</t>
        </is>
      </c>
      <c r="C24" t="inlineStr">
        <is>
          <t>Dovela D3 (sobre estribo)</t>
        </is>
      </c>
      <c r="D24" t="inlineStr">
        <is>
          <t>Margen Derecha</t>
        </is>
      </c>
      <c r="F24" t="n">
        <v>112.69</v>
      </c>
      <c r="G24" t="n">
        <v>0</v>
      </c>
      <c r="H24" t="n">
        <v>0</v>
      </c>
      <c r="I24" t="n">
        <v>1734.78</v>
      </c>
      <c r="J24" t="n">
        <v>0</v>
      </c>
      <c r="K24" t="n">
        <v>0</v>
      </c>
      <c r="L24" t="n">
        <v>0</v>
      </c>
      <c r="M24">
        <f>F24*I24+G24*J24+H24*K24+L24</f>
        <v/>
      </c>
      <c r="N24" s="4" t="n">
        <v>46232</v>
      </c>
      <c r="O24" s="4" t="n">
        <v>46251</v>
      </c>
      <c r="P24">
        <f>O24-N24+1</f>
        <v/>
      </c>
      <c r="Q24" t="inlineStr">
        <is>
          <t>TAB-MD-D2</t>
        </is>
      </c>
    </row>
    <row r="25">
      <c r="A25" t="inlineStr">
        <is>
          <t>TAB-MD-D4</t>
        </is>
      </c>
      <c r="B25" t="inlineStr">
        <is>
          <t>2.1.4</t>
        </is>
      </c>
      <c r="C25" t="inlineStr">
        <is>
          <t>Dovela D4 (luz central)</t>
        </is>
      </c>
      <c r="D25" t="inlineStr">
        <is>
          <t>Margen Derecha</t>
        </is>
      </c>
      <c r="F25" t="n">
        <v>0</v>
      </c>
      <c r="G25" t="n">
        <v>216249</v>
      </c>
      <c r="H25" t="n">
        <v>0</v>
      </c>
      <c r="I25" t="n">
        <v>0</v>
      </c>
      <c r="J25" t="n">
        <v>7.21</v>
      </c>
      <c r="K25" t="n">
        <v>0</v>
      </c>
      <c r="L25" t="n">
        <v>0</v>
      </c>
      <c r="M25">
        <f>F25*I25+G25*J25+H25*K25+L25</f>
        <v/>
      </c>
      <c r="N25" s="4" t="n">
        <v>46248</v>
      </c>
      <c r="O25" s="4" t="n">
        <v>46277</v>
      </c>
      <c r="P25">
        <f>O25-N25+1</f>
        <v/>
      </c>
      <c r="Q25" t="inlineStr">
        <is>
          <t>TAB-MD-D3</t>
        </is>
      </c>
    </row>
    <row r="26">
      <c r="A26" t="inlineStr">
        <is>
          <t>TAB-MD-D5</t>
        </is>
      </c>
      <c r="B26" t="inlineStr">
        <is>
          <t>2.1.5</t>
        </is>
      </c>
      <c r="C26" t="inlineStr">
        <is>
          <t>Dovela D5 (luz central)</t>
        </is>
      </c>
      <c r="D26" t="inlineStr">
        <is>
          <t>Margen Derecha</t>
        </is>
      </c>
      <c r="F26" t="n">
        <v>0</v>
      </c>
      <c r="G26" t="n">
        <v>117319</v>
      </c>
      <c r="H26" t="n">
        <v>0</v>
      </c>
      <c r="I26" t="n">
        <v>0</v>
      </c>
      <c r="J26" t="n">
        <v>8.01</v>
      </c>
      <c r="K26" t="n">
        <v>0</v>
      </c>
      <c r="L26" t="n">
        <v>0</v>
      </c>
      <c r="M26">
        <f>F26*I26+G26*J26+H26*K26+L26</f>
        <v/>
      </c>
      <c r="N26" s="4" t="n">
        <v>46273</v>
      </c>
      <c r="O26" s="4" t="n">
        <v>46301</v>
      </c>
      <c r="P26">
        <f>O26-N26+1</f>
        <v/>
      </c>
      <c r="Q26" t="inlineStr">
        <is>
          <t>TAB-MD-D4</t>
        </is>
      </c>
    </row>
    <row r="27">
      <c r="A27" t="inlineStr">
        <is>
          <t>TAB-MI-D1</t>
        </is>
      </c>
      <c r="B27" t="inlineStr">
        <is>
          <t>2.2.1</t>
        </is>
      </c>
      <c r="C27" t="inlineStr">
        <is>
          <t>Dovela D1 (diafragma extremo)</t>
        </is>
      </c>
      <c r="D27" t="inlineStr">
        <is>
          <t>Margen Izquierda</t>
        </is>
      </c>
      <c r="F27" t="n">
        <v>112.95</v>
      </c>
      <c r="G27" t="n">
        <v>0</v>
      </c>
      <c r="H27" t="n">
        <v>0</v>
      </c>
      <c r="I27" t="n">
        <v>1251.28</v>
      </c>
      <c r="J27" t="n">
        <v>0</v>
      </c>
      <c r="K27" t="n">
        <v>0</v>
      </c>
      <c r="L27" t="n">
        <v>0</v>
      </c>
      <c r="M27">
        <f>F27*I27+G27*J27+H27*K27+L27</f>
        <v/>
      </c>
      <c r="N27" s="4" t="n">
        <v>46219</v>
      </c>
      <c r="O27" s="4" t="n">
        <v>46233</v>
      </c>
      <c r="P27">
        <f>O27-N27+1</f>
        <v/>
      </c>
      <c r="Q27" t="inlineStr">
        <is>
          <t>BLQ-MI</t>
        </is>
      </c>
    </row>
    <row r="28">
      <c r="A28" t="inlineStr">
        <is>
          <t>TAB-MI-D2</t>
        </is>
      </c>
      <c r="B28" t="inlineStr">
        <is>
          <t>2.2.2</t>
        </is>
      </c>
      <c r="C28" t="inlineStr">
        <is>
          <t>Dovela D2 (sobre estribo)</t>
        </is>
      </c>
      <c r="D28" t="inlineStr">
        <is>
          <t>Margen Izquierda</t>
        </is>
      </c>
      <c r="F28" t="n">
        <v>140.49</v>
      </c>
      <c r="G28" t="n">
        <v>0</v>
      </c>
      <c r="H28" t="n">
        <v>0</v>
      </c>
      <c r="I28" t="n">
        <v>1250.58</v>
      </c>
      <c r="J28" t="n">
        <v>0</v>
      </c>
      <c r="K28" t="n">
        <v>0</v>
      </c>
      <c r="L28" t="n">
        <v>0</v>
      </c>
      <c r="M28">
        <f>F28*I28+G28*J28+H28*K28+L28</f>
        <v/>
      </c>
      <c r="N28" s="4" t="n">
        <v>46231</v>
      </c>
      <c r="O28" s="4" t="n">
        <v>46249</v>
      </c>
      <c r="P28">
        <f>O28-N28+1</f>
        <v/>
      </c>
      <c r="Q28" t="inlineStr">
        <is>
          <t>TAB-MI-D1</t>
        </is>
      </c>
    </row>
    <row r="29">
      <c r="A29" t="inlineStr">
        <is>
          <t>TAB-MI-D3</t>
        </is>
      </c>
      <c r="B29" t="inlineStr">
        <is>
          <t>2.2.3</t>
        </is>
      </c>
      <c r="C29" t="inlineStr">
        <is>
          <t>Dovela D3 (sobre estribo)</t>
        </is>
      </c>
      <c r="D29" t="inlineStr">
        <is>
          <t>Margen Izquierda</t>
        </is>
      </c>
      <c r="F29" t="n">
        <v>112.69</v>
      </c>
      <c r="G29" t="n">
        <v>0</v>
      </c>
      <c r="H29" t="n">
        <v>0</v>
      </c>
      <c r="I29" t="n">
        <v>1250</v>
      </c>
      <c r="J29" t="n">
        <v>0</v>
      </c>
      <c r="K29" t="n">
        <v>0</v>
      </c>
      <c r="L29" t="n">
        <v>0</v>
      </c>
      <c r="M29">
        <f>F29*I29+G29*J29+H29*K29+L29</f>
        <v/>
      </c>
      <c r="N29" s="4" t="n">
        <v>46247</v>
      </c>
      <c r="O29" s="4" t="n">
        <v>46266</v>
      </c>
      <c r="P29">
        <f>O29-N29+1</f>
        <v/>
      </c>
      <c r="Q29" t="inlineStr">
        <is>
          <t>TAB-MI-D2</t>
        </is>
      </c>
    </row>
    <row r="30">
      <c r="A30" t="inlineStr">
        <is>
          <t>TAB-MI-D4</t>
        </is>
      </c>
      <c r="B30" t="inlineStr">
        <is>
          <t>2.2.4</t>
        </is>
      </c>
      <c r="C30" t="inlineStr">
        <is>
          <t>Dovela D4 (luz central)</t>
        </is>
      </c>
      <c r="D30" t="inlineStr">
        <is>
          <t>Margen Izquierda</t>
        </is>
      </c>
      <c r="F30" t="n">
        <v>243.75</v>
      </c>
      <c r="G30" t="n">
        <v>0</v>
      </c>
      <c r="H30" t="n">
        <v>0</v>
      </c>
      <c r="I30" t="n">
        <v>1250</v>
      </c>
      <c r="J30" t="n">
        <v>0</v>
      </c>
      <c r="K30" t="n">
        <v>0</v>
      </c>
      <c r="L30" t="n">
        <v>0</v>
      </c>
      <c r="M30">
        <f>F30*I30+G30*J30+H30*K30+L30</f>
        <v/>
      </c>
      <c r="N30" s="4" t="n">
        <v>46263</v>
      </c>
      <c r="O30" s="4" t="n">
        <v>46292</v>
      </c>
      <c r="P30">
        <f>O30-N30+1</f>
        <v/>
      </c>
      <c r="Q30" t="inlineStr">
        <is>
          <t>TAB-MI-D3</t>
        </is>
      </c>
    </row>
    <row r="31">
      <c r="A31" t="inlineStr">
        <is>
          <t>TAB-MI-D5</t>
        </is>
      </c>
      <c r="B31" t="inlineStr">
        <is>
          <t>2.2.5</t>
        </is>
      </c>
      <c r="C31" t="inlineStr">
        <is>
          <t>Dovela D5 (luz central)</t>
        </is>
      </c>
      <c r="D31" t="inlineStr">
        <is>
          <t>Margen Izquierda</t>
        </is>
      </c>
      <c r="F31" t="n">
        <v>207.45</v>
      </c>
      <c r="G31" t="n">
        <v>0</v>
      </c>
      <c r="H31" t="n">
        <v>0</v>
      </c>
      <c r="I31" t="n">
        <v>1279.66</v>
      </c>
      <c r="J31" t="n">
        <v>0</v>
      </c>
      <c r="K31" t="n">
        <v>0</v>
      </c>
      <c r="L31" t="n">
        <v>0</v>
      </c>
      <c r="M31">
        <f>F31*I31+G31*J31+H31*K31+L31</f>
        <v/>
      </c>
      <c r="N31" s="4" t="n">
        <v>46288</v>
      </c>
      <c r="O31" s="4" t="n">
        <v>46326</v>
      </c>
      <c r="P31">
        <f>O31-N31+1</f>
        <v/>
      </c>
      <c r="Q31" t="inlineStr">
        <is>
          <t>TAB-MI-D4</t>
        </is>
      </c>
    </row>
    <row r="32">
      <c r="M32">
        <f>SUM(M5:M31)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% de avance físico REAL acumulado por tarea (cierre de mes)</t>
        </is>
      </c>
    </row>
    <row r="2">
      <c r="A2" t="inlineStr">
        <is>
          <t>Calculado desde partes_diarios (estado = aprobado). En blanco = mes aún sin cerrar.</t>
        </is>
      </c>
    </row>
    <row r="4">
      <c r="A4" s="2" t="inlineStr">
        <is>
          <t>ID</t>
        </is>
      </c>
      <c r="B4" s="2" t="inlineStr">
        <is>
          <t>Tarea</t>
        </is>
      </c>
      <c r="C4" s="5" t="n">
        <v>46053</v>
      </c>
      <c r="D4" s="5" t="n">
        <v>46081</v>
      </c>
      <c r="E4" s="5" t="n">
        <v>46112</v>
      </c>
      <c r="F4" s="5" t="n">
        <v>46142</v>
      </c>
      <c r="G4" s="5" t="n">
        <v>46173</v>
      </c>
      <c r="H4" s="5" t="n">
        <v>46203</v>
      </c>
      <c r="I4" s="5" t="n">
        <v>46234</v>
      </c>
      <c r="J4" s="5" t="n">
        <v>46265</v>
      </c>
      <c r="K4" s="5" t="n">
        <v>46295</v>
      </c>
      <c r="L4" s="5" t="n">
        <v>46326</v>
      </c>
    </row>
    <row r="5">
      <c r="A5" t="inlineStr">
        <is>
          <t>BLQ-MD</t>
        </is>
      </c>
      <c r="B5" t="inlineStr">
        <is>
          <t>Bloque y mÃ©nsula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1</v>
      </c>
      <c r="L5" s="6" t="n">
        <v>1</v>
      </c>
    </row>
    <row r="6">
      <c r="A6" t="inlineStr">
        <is>
          <t>BLQ-MI</t>
        </is>
      </c>
      <c r="B6" t="inlineStr">
        <is>
          <t>Bloque y mÃ©nsula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</row>
    <row r="7">
      <c r="A7" t="inlineStr">
        <is>
          <t>CAB-MD</t>
        </is>
      </c>
      <c r="B7" t="inlineStr">
        <is>
          <t>Cabezal</t>
        </is>
      </c>
      <c r="C7" s="6" t="n">
        <v>0</v>
      </c>
      <c r="D7" s="6" t="n">
        <v>0</v>
      </c>
      <c r="E7" s="6" t="n">
        <v>0.25</v>
      </c>
      <c r="F7" s="6" t="n">
        <v>1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>
        <v>1</v>
      </c>
    </row>
    <row r="8">
      <c r="A8" t="inlineStr">
        <is>
          <t>CAB-MI</t>
        </is>
      </c>
      <c r="B8" t="inlineStr">
        <is>
          <t>Cabezal</t>
        </is>
      </c>
      <c r="C8" s="6" t="n">
        <v>0</v>
      </c>
      <c r="D8" s="6" t="n">
        <v>0</v>
      </c>
      <c r="E8" s="6" t="n">
        <v>0</v>
      </c>
      <c r="F8" s="6" t="n">
        <v>1</v>
      </c>
      <c r="G8" s="6" t="n">
        <v>1</v>
      </c>
      <c r="H8" s="6" t="n">
        <v>1</v>
      </c>
      <c r="I8" s="6" t="n">
        <v>1</v>
      </c>
      <c r="J8" s="6" t="n">
        <v>1</v>
      </c>
      <c r="K8" s="6" t="n">
        <v>1</v>
      </c>
      <c r="L8" s="6" t="n">
        <v>1</v>
      </c>
    </row>
    <row r="9">
      <c r="A9" t="inlineStr">
        <is>
          <t>COL-MD</t>
        </is>
      </c>
      <c r="B9" t="inlineStr">
        <is>
          <t>Columna y tirante</t>
        </is>
      </c>
      <c r="C9" s="6" t="n">
        <v>0</v>
      </c>
      <c r="D9" s="6" t="n">
        <v>0</v>
      </c>
      <c r="E9" s="6" t="n">
        <v>0</v>
      </c>
      <c r="F9" s="6" t="n">
        <v>0.1</v>
      </c>
      <c r="G9" s="6" t="n">
        <v>0.8</v>
      </c>
      <c r="H9" s="6" t="n">
        <v>0.8</v>
      </c>
      <c r="I9" s="6" t="n">
        <v>0.8</v>
      </c>
      <c r="J9" s="6" t="n">
        <v>0.8</v>
      </c>
      <c r="K9" s="6" t="n">
        <v>0.8</v>
      </c>
      <c r="L9" s="6" t="n">
        <v>0.8</v>
      </c>
    </row>
    <row r="10">
      <c r="A10" t="inlineStr">
        <is>
          <t>COL-MI</t>
        </is>
      </c>
      <c r="B10" t="inlineStr">
        <is>
          <t>Columna y tirante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0.3</v>
      </c>
      <c r="H10" s="6" t="n">
        <v>0.3</v>
      </c>
      <c r="I10" s="6" t="n">
        <v>0.3</v>
      </c>
      <c r="J10" s="6" t="n">
        <v>0.3</v>
      </c>
      <c r="K10" s="6" t="n">
        <v>0.3</v>
      </c>
      <c r="L10" s="6" t="n">
        <v>0.3</v>
      </c>
    </row>
    <row r="11">
      <c r="A11" t="inlineStr">
        <is>
          <t>DRE-MD</t>
        </is>
      </c>
      <c r="B11" t="inlineStr">
        <is>
          <t>Drenaje PVC Ã˜4"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</row>
    <row r="12">
      <c r="A12" t="inlineStr">
        <is>
          <t>MUR-MD</t>
        </is>
      </c>
      <c r="B12" t="inlineStr">
        <is>
          <t>Muros del estribo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0.4</v>
      </c>
      <c r="H12" s="6" t="n">
        <v>0.4</v>
      </c>
      <c r="I12" s="6" t="n">
        <v>0.4</v>
      </c>
      <c r="J12" s="6" t="n">
        <v>0.4</v>
      </c>
      <c r="K12" s="6" t="n">
        <v>0.4</v>
      </c>
      <c r="L12" s="6" t="n">
        <v>0.4</v>
      </c>
    </row>
    <row r="13">
      <c r="A13" t="inlineStr">
        <is>
          <t>MUR-MI</t>
        </is>
      </c>
      <c r="B13" t="inlineStr">
        <is>
          <t>Muros del estribo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0.25</v>
      </c>
      <c r="H13" s="6" t="n">
        <v>0.25</v>
      </c>
      <c r="I13" s="6" t="n">
        <v>0.25</v>
      </c>
      <c r="J13" s="6" t="n">
        <v>0.25</v>
      </c>
      <c r="K13" s="6" t="n">
        <v>0.25</v>
      </c>
      <c r="L13" s="6" t="n">
        <v>0.25</v>
      </c>
    </row>
    <row r="14">
      <c r="A14" t="inlineStr">
        <is>
          <t>PCB-MD</t>
        </is>
      </c>
      <c r="B14" t="inlineStr">
        <is>
          <t>Prueba de carga bidireccional</t>
        </is>
      </c>
      <c r="C14" s="6" t="n">
        <v>0.6</v>
      </c>
      <c r="D14" s="6" t="n">
        <v>1</v>
      </c>
      <c r="E14" s="6" t="n">
        <v>1</v>
      </c>
      <c r="F14" s="6" t="n">
        <v>1</v>
      </c>
      <c r="G14" s="6" t="n">
        <v>1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</row>
    <row r="15">
      <c r="A15" t="inlineStr">
        <is>
          <t>PCB-MI</t>
        </is>
      </c>
      <c r="B15" t="inlineStr">
        <is>
          <t>Prueba de carga bidireccional</t>
        </is>
      </c>
      <c r="C15" s="6" t="n">
        <v>0.7</v>
      </c>
      <c r="D15" s="6" t="n">
        <v>1</v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</row>
    <row r="16">
      <c r="A16" t="inlineStr">
        <is>
          <t>PIL-MD</t>
        </is>
      </c>
      <c r="B16" t="inlineStr">
        <is>
          <t>Pilotes de cimentaciÃ³n</t>
        </is>
      </c>
      <c r="C16" s="6" t="n">
        <v>0.4</v>
      </c>
      <c r="D16" s="6" t="n">
        <v>0.95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</row>
    <row r="17">
      <c r="A17" t="inlineStr">
        <is>
          <t>PIL-MI</t>
        </is>
      </c>
      <c r="B17" t="inlineStr">
        <is>
          <t>Pilotes de cimentaciÃ³n</t>
        </is>
      </c>
      <c r="C17" s="6" t="n">
        <v>0.1</v>
      </c>
      <c r="D17" s="6" t="n">
        <v>0.7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</row>
    <row r="18">
      <c r="A18" t="inlineStr">
        <is>
          <t>POS-MD</t>
        </is>
      </c>
      <c r="B18" t="inlineStr">
        <is>
          <t>Postensado (ductos)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</row>
    <row r="19">
      <c r="A19" t="inlineStr">
        <is>
          <t>POS-MI</t>
        </is>
      </c>
      <c r="B19" t="inlineStr">
        <is>
          <t>Postensado (ductos)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</row>
    <row r="20">
      <c r="A20" t="inlineStr">
        <is>
          <t>SOL-MD</t>
        </is>
      </c>
      <c r="B20" t="inlineStr">
        <is>
          <t>Solado</t>
        </is>
      </c>
      <c r="C20" s="6" t="n">
        <v>0</v>
      </c>
      <c r="D20" s="6" t="n">
        <v>0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</row>
    <row r="21">
      <c r="A21" t="inlineStr">
        <is>
          <t>SOL-MI</t>
        </is>
      </c>
      <c r="B21" t="inlineStr">
        <is>
          <t>Solado</t>
        </is>
      </c>
      <c r="C21" s="6" t="n">
        <v>0</v>
      </c>
      <c r="D21" s="6" t="n">
        <v>0</v>
      </c>
      <c r="E21" s="6" t="n">
        <v>0.8</v>
      </c>
      <c r="F21" s="6" t="n">
        <v>1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</row>
    <row r="22">
      <c r="A22" t="inlineStr">
        <is>
          <t>TAB-MD-D1</t>
        </is>
      </c>
      <c r="B22" t="inlineStr">
        <is>
          <t>Dovela D1 (diafragma extremo)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</row>
    <row r="23">
      <c r="A23" t="inlineStr">
        <is>
          <t>TAB-MD-D2</t>
        </is>
      </c>
      <c r="B23" t="inlineStr">
        <is>
          <t>Dovela D2 (sobre estribo)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t="inlineStr">
        <is>
          <t>TAB-MD-D3</t>
        </is>
      </c>
      <c r="B24" t="inlineStr">
        <is>
          <t>Dovela D3 (sobre estribo)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t="inlineStr">
        <is>
          <t>TAB-MD-D4</t>
        </is>
      </c>
      <c r="B25" t="inlineStr">
        <is>
          <t>Dovela D4 (luz central)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</row>
    <row r="26">
      <c r="A26" t="inlineStr">
        <is>
          <t>TAB-MD-D5</t>
        </is>
      </c>
      <c r="B26" t="inlineStr">
        <is>
          <t>Dovela D5 (luz central)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</row>
    <row r="27">
      <c r="A27" t="inlineStr">
        <is>
          <t>TAB-MI-D1</t>
        </is>
      </c>
      <c r="B27" t="inlineStr">
        <is>
          <t>Dovela D1 (diafragma extremo)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</row>
    <row r="28">
      <c r="A28" t="inlineStr">
        <is>
          <t>TAB-MI-D2</t>
        </is>
      </c>
      <c r="B28" t="inlineStr">
        <is>
          <t>Dovela D2 (sobre estribo)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</row>
    <row r="29">
      <c r="A29" t="inlineStr">
        <is>
          <t>TAB-MI-D3</t>
        </is>
      </c>
      <c r="B29" t="inlineStr">
        <is>
          <t>Dovela D3 (sobre estribo)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</row>
    <row r="30">
      <c r="A30" t="inlineStr">
        <is>
          <t>TAB-MI-D4</t>
        </is>
      </c>
      <c r="B30" t="inlineStr">
        <is>
          <t>Dovela D4 (luz central)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</row>
    <row r="31">
      <c r="A31" t="inlineStr">
        <is>
          <t>TAB-MI-D5</t>
        </is>
      </c>
      <c r="B31" t="inlineStr">
        <is>
          <t>Dovela D5 (luz central)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2026-09-22T06:43:24Z</dcterms:created>
  <dcterms:modified xsi:type="dcterms:W3CDTF">2026-09-22T06:43:24Z</dcterms:modified>
</cp:coreProperties>
</file>