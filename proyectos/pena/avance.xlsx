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Parametros" sheetId="2" state="visible" r:id="rId2"/>
    <sheet name="Cronograma_5D" sheetId="3" state="visible" r:id="rId3"/>
    <sheet name="Avance_Mensual" sheetId="4" state="visible" r:id="rId4"/>
    <sheet name="Curva_S" sheetId="5" state="visible" r:id="rId5"/>
    <sheet name="Elementos_BIM" sheetId="6" state="visible" r:id="rId6"/>
  </sheets>
  <definedNames>
    <definedName name="_xlnm._FilterDatabase" localSheetId="2" hidden="1">'Cronograma_5D'!$A$4:$W$31</definedName>
    <definedName name="_xlnm._FilterDatabase" localSheetId="5" hidden="1">'Elementos_BIM'!$A$4:$K$356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&quot;S/.&quot; #,##0.00"/>
    <numFmt numFmtId="166" formatCode="0.0%"/>
    <numFmt numFmtId="167" formatCode="dd/mm/yy"/>
  </numFmts>
  <fonts count="5">
    <font>
      <name val="Calibri"/>
      <family val="2"/>
      <color theme="1"/>
      <sz val="11"/>
      <scheme val="minor"/>
    </font>
    <font>
      <b val="1"/>
      <color rgb="000F172A"/>
      <sz val="15"/>
    </font>
    <font>
      <i val="1"/>
      <color rgb="0064748B"/>
      <sz val="9"/>
    </font>
    <font>
      <b val="1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E8EEF9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9D3E6"/>
      </left>
      <right style="thin">
        <color rgb="00C9D3E6"/>
      </right>
      <top style="thin">
        <color rgb="00C9D3E6"/>
      </top>
      <bottom style="thin">
        <color rgb="00C9D3E6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1" pivotButton="0" quotePrefix="0" xfId="0"/>
    <xf numFmtId="164" fontId="0" fillId="2" borderId="1" pivotButton="0" quotePrefix="0" xfId="0"/>
    <xf numFmtId="9" fontId="0" fillId="2" borderId="1" pivotButton="0" quotePrefix="0" xfId="0"/>
    <xf numFmtId="165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3" fontId="0" fillId="2" borderId="1" pivotButton="0" quotePrefix="0" xfId="0"/>
    <xf numFmtId="4" fontId="0" fillId="2" borderId="1" pivotButton="0" quotePrefix="0" xfId="0"/>
    <xf numFmtId="3" fontId="0" fillId="3" borderId="1" pivotButton="0" quotePrefix="0" xfId="0"/>
    <xf numFmtId="0" fontId="0" fillId="3" borderId="1" pivotButton="0" quotePrefix="0" xfId="0"/>
    <xf numFmtId="9" fontId="0" fillId="3" borderId="1" pivotButton="0" quotePrefix="0" xfId="0"/>
    <xf numFmtId="2" fontId="0" fillId="3" borderId="1" pivotButton="0" quotePrefix="0" xfId="0"/>
    <xf numFmtId="3" fontId="3" fillId="3" borderId="0" pivotButton="0" quotePrefix="0" xfId="0"/>
    <xf numFmtId="166" fontId="3" fillId="0" borderId="0" pivotButton="0" quotePrefix="0" xfId="0"/>
    <xf numFmtId="2" fontId="3" fillId="0" borderId="0" pivotButton="0" quotePrefix="0" xfId="0"/>
    <xf numFmtId="167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3" borderId="1" pivotButton="0" quotePrefix="0" xfId="0"/>
    <xf numFmtId="166" fontId="0" fillId="3" borderId="1" pivotButton="0" quotePrefix="0" xfId="0"/>
    <xf numFmtId="164" fontId="0" fillId="2" borderId="1" pivotButton="0" quotePrefix="0" xfId="0"/>
    <xf numFmtId="165" fontId="0" fillId="3" borderId="1" pivotButton="0" quotePrefix="0" xfId="0"/>
    <xf numFmtId="166" fontId="3" fillId="0" borderId="0" pivotButton="0" quotePrefix="0" xfId="0"/>
    <xf numFmtId="167" fontId="4" fillId="4" borderId="1" applyAlignment="1" pivotButton="0" quotePrefix="0" xfId="0">
      <alignment horizontal="center" vertical="center" wrapText="1"/>
    </xf>
    <xf numFmtId="164" fontId="0" fillId="3" borderId="1" pivotButton="0" quotePrefix="0" xfId="0"/>
    <xf numFmtId="166" fontId="0" fillId="3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D1FAE5"/>
          <bgColor rgb="00D1FAE5"/>
        </patternFill>
      </fill>
    </dxf>
    <dxf>
      <fill>
        <patternFill patternType="solid">
          <fgColor rgb="00FEE2E2"/>
          <bgColor rgb="00FEE2E2"/>
        </patternFill>
      </fill>
    </dxf>
    <dxf>
      <fill>
        <patternFill patternType="solid">
          <fgColor rgb="00DBEAFE"/>
          <bgColor rgb="00DBEAFE"/>
        </patternFill>
      </fill>
    </dxf>
    <dxf>
      <fill>
        <patternFill patternType="solid">
          <fgColor rgb="00E2E8F0"/>
          <bgColor rgb="00E2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Curva S de costos (acumulado S/)</a:t>
            </a:r>
          </a:p>
        </rich>
      </tx>
    </title>
    <plotArea>
      <lineChart>
        <grouping val="standard"/>
        <ser>
          <idx val="0"/>
          <order val="0"/>
          <tx>
            <strRef>
              <f>'Curva_S'!C4</f>
            </strRef>
          </tx>
          <spPr>
            <a:ln>
              <a:solidFill>
                <a:srgbClr val="64748B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'Curva_S'!$A$5:$A$14</f>
            </numRef>
          </cat>
          <val>
            <numRef>
              <f>'Curva_S'!$C$5:$C$14</f>
            </numRef>
          </val>
        </ser>
        <ser>
          <idx val="1"/>
          <order val="1"/>
          <tx>
            <strRef>
              <f>'Curva_S'!D4</f>
            </strRef>
          </tx>
          <spPr>
            <a:ln w="32000">
              <a:solidFill>
                <a:srgbClr val="2563EB"/>
              </a:solidFill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'Curva_S'!$A$5:$A$14</f>
            </numRef>
          </cat>
          <val>
            <numRef>
              <f>'Curva_S'!$D$5:$D$14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S/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864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Puente Charanal – Control 5D (BIM 4D/5D)</t>
        </is>
      </c>
    </row>
    <row r="2">
      <c r="A2" s="2" t="inlineStr">
        <is>
          <t>Datos de ejemplo generados a partir del modelo charanal.frag (IFC2X3 / Revit 2026). Los valores de avance son ALEATORIOS.</t>
        </is>
      </c>
    </row>
    <row r="4">
      <c r="A4" s="3" t="inlineStr">
        <is>
          <t>Hojas</t>
        </is>
      </c>
      <c r="B4" s="4" t="inlineStr"/>
    </row>
    <row r="5">
      <c r="A5" s="3" t="inlineStr">
        <is>
          <t>Parametros</t>
        </is>
      </c>
      <c r="B5" s="4" t="inlineStr">
        <is>
          <t>Datos generales, fecha de corte y umbral de atraso.</t>
        </is>
      </c>
    </row>
    <row r="6">
      <c r="A6" s="3" t="inlineStr">
        <is>
          <t>Cronograma_5D</t>
        </is>
      </c>
      <c r="B6" s="4" t="inlineStr">
        <is>
          <t>Programación (inicio/fin), metrados extraídos del modelo BIM y presupuesto por tarea (WBS). Celdas amarillas = entrada.</t>
        </is>
      </c>
    </row>
    <row r="7">
      <c r="A7" s="3" t="inlineStr">
        <is>
          <t>Avance_Mensual</t>
        </is>
      </c>
      <c r="B7" s="4" t="inlineStr">
        <is>
          <t>% de avance físico acumulado REAL por tarea al cierre de cada mes (5 meses de ejemplo: ene–may 2026). Completar el mes siguiente y mover la fecha de corte en Parametros.</t>
        </is>
      </c>
    </row>
    <row r="8">
      <c r="A8" s="3" t="inlineStr">
        <is>
          <t>Curva_S</t>
        </is>
      </c>
      <c r="B8" s="4" t="inlineStr">
        <is>
          <t>Curva S acumulada programada (5D) vs ejecutada, con fórmulas y gráfico.</t>
        </is>
      </c>
    </row>
    <row r="9">
      <c r="A9" s="3" t="inlineStr">
        <is>
          <t>Elementos_BIM</t>
        </is>
      </c>
      <c r="B9" s="4" t="inlineStr">
        <is>
          <t>Lista de elementos del modelo (sin armadura ni acopladores) con su tarea asignada. La armadura (22 333 barras) y los acopladores se asignan por Partida/Ubicación.</t>
        </is>
      </c>
    </row>
    <row r="10">
      <c r="A10" s="3" t="inlineStr"/>
      <c r="B10" s="4" t="inlineStr"/>
    </row>
    <row r="11">
      <c r="A11" s="3" t="inlineStr">
        <is>
          <t>Cómo se usa en el visor</t>
        </is>
      </c>
      <c r="B11" s="4" t="inlineStr"/>
    </row>
    <row r="12">
      <c r="A12" s="3" t="inlineStr">
        <is>
          <t>1</t>
        </is>
      </c>
      <c r="B12" s="4" t="inlineStr">
        <is>
          <t>El visor lee este Excel (Cronograma_5D, Avance_Mensual, Parametros) y pinta el modelo 3D según el estado de cada tarea en la fecha del deslizador 4D.</t>
        </is>
      </c>
    </row>
    <row r="13">
      <c r="A13" s="3" t="inlineStr">
        <is>
          <t>2</t>
        </is>
      </c>
      <c r="B13" s="4" t="inlineStr">
        <is>
          <t>Puede reemplazar el Excel por el suyo con el botón "Cargar Excel" del visor, sin reiniciar nada.</t>
        </is>
      </c>
    </row>
    <row r="14">
      <c r="A14" s="3" t="inlineStr">
        <is>
          <t>3</t>
        </is>
      </c>
      <c r="B14" s="4" t="inlineStr">
        <is>
          <t>El ID de cada tarea (columna A de Cronograma_5D) debe coincidir con el de public/data/element_map.json (se regenera con "npm run map").</t>
        </is>
      </c>
    </row>
    <row r="15">
      <c r="A15" s="3" t="inlineStr"/>
      <c r="B15" s="4" t="inlineStr"/>
    </row>
    <row r="16">
      <c r="A16" s="3" t="inlineStr">
        <is>
          <t>Colores</t>
        </is>
      </c>
      <c r="B16" s="4" t="inlineStr">
        <is>
          <t>Pendiente = gris · En proceso = azul · Terminado = verde · Atrasado = rojo (programado − real &gt; umbral).</t>
        </is>
      </c>
    </row>
    <row r="17">
      <c r="A17" s="3" t="inlineStr">
        <is>
          <t>Nota</t>
        </is>
      </c>
      <c r="B17" s="4" t="inlineStr">
        <is>
          <t>Se ocultan en el visor 2 losas auxiliares "Avance Eliminar" y 2 huecos (IfcOpeningElement) del modelo original.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Parámetros generales</t>
        </is>
      </c>
    </row>
    <row r="4">
      <c r="A4" s="3" t="inlineStr">
        <is>
          <t>Proyecto</t>
        </is>
      </c>
      <c r="B4" s="5" t="inlineStr">
        <is>
          <t>Puente Peña 5D</t>
        </is>
      </c>
    </row>
    <row r="5">
      <c r="A5" s="3" t="inlineStr">
        <is>
          <t>Subtítulo</t>
        </is>
      </c>
      <c r="B5" s="5" t="inlineStr">
        <is>
          <t>Control de Avance Técnico &amp; Financiero</t>
        </is>
      </c>
    </row>
    <row r="6">
      <c r="A6" s="3" t="inlineStr">
        <is>
          <t>Modalidad</t>
        </is>
      </c>
      <c r="B6" s="5" t="inlineStr">
        <is>
          <t>Licitación Directa Obra</t>
        </is>
      </c>
    </row>
    <row r="7">
      <c r="A7" s="3" t="inlineStr">
        <is>
          <t>Moneda</t>
        </is>
      </c>
      <c r="B7" s="5" t="inlineStr">
        <is>
          <t>S/.</t>
        </is>
      </c>
    </row>
    <row r="8">
      <c r="A8" s="3" t="inlineStr">
        <is>
          <t>Fecha inicio</t>
        </is>
      </c>
      <c r="B8" s="23" t="n">
        <v>46023</v>
      </c>
    </row>
    <row r="9">
      <c r="A9" s="3" t="inlineStr">
        <is>
          <t>Fecha fin</t>
        </is>
      </c>
      <c r="B9" s="23" t="n">
        <v>46326</v>
      </c>
    </row>
    <row r="10">
      <c r="A10" s="3" t="inlineStr">
        <is>
          <t>Fecha de corte</t>
        </is>
      </c>
      <c r="B10" s="23" t="n">
        <v>46173</v>
      </c>
    </row>
    <row r="11">
      <c r="A11" s="3" t="inlineStr">
        <is>
          <t>Umbral atraso (pts %)</t>
        </is>
      </c>
      <c r="B11" s="7" t="n">
        <v>0.1</v>
      </c>
    </row>
    <row r="12">
      <c r="A12" s="3" t="inlineStr">
        <is>
          <t>Presupuesto total</t>
        </is>
      </c>
      <c r="B12" s="24">
        <f>SUM(Cronograma_5D!M5:M31)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34" customWidth="1" min="3" max="3"/>
    <col width="17" customWidth="1" min="4" max="4"/>
    <col width="10" customWidth="1" min="5" max="5"/>
    <col width="12" customWidth="1" min="6" max="6"/>
    <col width="11" customWidth="1" min="7" max="7"/>
    <col width="10" customWidth="1" min="8" max="8"/>
    <col width="12" customWidth="1" min="9" max="9"/>
    <col width="11" customWidth="1" min="10" max="10"/>
    <col width="11" customWidth="1" min="11" max="11"/>
    <col width="12" customWidth="1" min="12" max="12"/>
    <col width="15" customWidth="1" min="13" max="13"/>
    <col width="12" customWidth="1" min="14" max="14"/>
    <col width="12" customWidth="1" min="15" max="15"/>
    <col width="9" customWidth="1" min="16" max="16"/>
    <col width="12" customWidth="1" min="17" max="17"/>
    <col width="10" customWidth="1" min="18" max="18"/>
    <col width="10" customWidth="1" min="19" max="19"/>
    <col width="15" customWidth="1" min="20" max="20"/>
    <col width="15" customWidth="1" min="21" max="21"/>
    <col width="7" customWidth="1" min="22" max="22"/>
    <col width="13" customWidth="1" min="23" max="23"/>
  </cols>
  <sheetData>
    <row r="1">
      <c r="A1" s="1" t="inlineStr">
        <is>
          <t>Cronograma 5D – programación, metrados BIM y presupuesto</t>
        </is>
      </c>
    </row>
    <row r="2">
      <c r="A2" s="2" t="inlineStr">
        <is>
          <t>Amarillo = dato de entrada · Azul claro = fórmula. Metrados obtenidos del modelo charanal.frag.</t>
        </is>
      </c>
    </row>
    <row r="4" ht="44" customHeight="1">
      <c r="A4" s="9" t="inlineStr">
        <is>
          <t>ID</t>
        </is>
      </c>
      <c r="B4" s="9" t="inlineStr">
        <is>
          <t>WBS</t>
        </is>
      </c>
      <c r="C4" s="9" t="inlineStr">
        <is>
          <t>Tarea</t>
        </is>
      </c>
      <c r="D4" s="9" t="inlineStr">
        <is>
          <t>Ubicación</t>
        </is>
      </c>
      <c r="E4" s="9" t="inlineStr">
        <is>
          <t>Elementos BIM</t>
        </is>
      </c>
      <c r="F4" s="9" t="inlineStr">
        <is>
          <t>Concreto (m³)</t>
        </is>
      </c>
      <c r="G4" s="9" t="inlineStr">
        <is>
          <t>Acero (kg)</t>
        </is>
      </c>
      <c r="H4" s="9" t="inlineStr">
        <is>
          <t>Otros (und)</t>
        </is>
      </c>
      <c r="I4" s="9" t="inlineStr">
        <is>
          <t>P.U. concreto (S/m³)</t>
        </is>
      </c>
      <c r="J4" s="9" t="inlineStr">
        <is>
          <t>P.U. acero (S/kg)</t>
        </is>
      </c>
      <c r="K4" s="9" t="inlineStr">
        <is>
          <t>P.U. otros (S/und)</t>
        </is>
      </c>
      <c r="L4" s="9" t="inlineStr">
        <is>
          <t>Costo fijo (S/)</t>
        </is>
      </c>
      <c r="M4" s="9" t="inlineStr">
        <is>
          <t>Presupuesto (S/)</t>
        </is>
      </c>
      <c r="N4" s="9" t="inlineStr">
        <is>
          <t>Inicio prog.</t>
        </is>
      </c>
      <c r="O4" s="9" t="inlineStr">
        <is>
          <t>Fin prog.</t>
        </is>
      </c>
      <c r="P4" s="9" t="inlineStr">
        <is>
          <t>Duración (d)</t>
        </is>
      </c>
      <c r="Q4" s="9" t="inlineStr">
        <is>
          <t>Predecesora</t>
        </is>
      </c>
      <c r="R4" s="9" t="inlineStr">
        <is>
          <t>% Prog. al corte</t>
        </is>
      </c>
      <c r="S4" s="9" t="inlineStr">
        <is>
          <t>% Real al corte</t>
        </is>
      </c>
      <c r="T4" s="9" t="inlineStr">
        <is>
          <t>Valor programado (S/)</t>
        </is>
      </c>
      <c r="U4" s="9" t="inlineStr">
        <is>
          <t>Valor ganado (S/)</t>
        </is>
      </c>
      <c r="V4" s="9" t="inlineStr">
        <is>
          <t>SPI</t>
        </is>
      </c>
      <c r="W4" s="9" t="inlineStr">
        <is>
          <t>Estado</t>
        </is>
      </c>
    </row>
    <row r="5">
      <c r="A5" s="5" t="inlineStr">
        <is>
          <t>PIL-MD</t>
        </is>
      </c>
      <c r="B5" s="5" t="inlineStr">
        <is>
          <t>1.1.1</t>
        </is>
      </c>
      <c r="C5" s="5" t="inlineStr">
        <is>
          <t>Pilotes de cimentación</t>
        </is>
      </c>
      <c r="D5" s="5" t="inlineStr">
        <is>
          <t>Margen Derecha</t>
        </is>
      </c>
      <c r="E5" s="10" t="n">
        <v>6756</v>
      </c>
      <c r="F5" s="11" t="n">
        <v>1343.03</v>
      </c>
      <c r="G5" s="10" t="n">
        <v>292741</v>
      </c>
      <c r="H5" s="10" t="n">
        <v>2156</v>
      </c>
      <c r="I5" s="11" t="n">
        <v>1050</v>
      </c>
      <c r="J5" s="11" t="n">
        <v>5.8</v>
      </c>
      <c r="K5" s="11" t="n">
        <v>110</v>
      </c>
      <c r="L5" s="10" t="n">
        <v>0</v>
      </c>
      <c r="M5" s="12">
        <f>F5*I5+G5*J5+H5*K5+L5</f>
        <v/>
      </c>
      <c r="N5" s="23" t="n">
        <v>46027</v>
      </c>
      <c r="O5" s="23" t="n">
        <v>46081</v>
      </c>
      <c r="P5" s="13">
        <f>O5-N5+1</f>
        <v/>
      </c>
      <c r="Q5" s="5" t="inlineStr"/>
      <c r="R5" s="14">
        <f>MAX(0,MIN(1,(Parametros!$B$10-N5+1)/P5))</f>
        <v/>
      </c>
      <c r="S5" s="14">
        <f>IFERROR(INDEX(Avance_Mensual!$C5:$L5,1,MATCH(Parametros!$B$10,Avance_Mensual!$C$4:$L$4,0)),0)</f>
        <v/>
      </c>
      <c r="T5" s="12">
        <f>M5*R5</f>
        <v/>
      </c>
      <c r="U5" s="12">
        <f>M5*S5</f>
        <v/>
      </c>
      <c r="V5" s="15">
        <f>IF(T5=0,"",U5/T5)</f>
        <v/>
      </c>
      <c r="W5" s="13">
        <f>IF(S5&gt;=1,"Terminado",IF(R5-S5&gt;Parametros!$B$11,"Atrasado",IF(S5&gt;0,"En proceso","Pendiente")))</f>
        <v/>
      </c>
    </row>
    <row r="6">
      <c r="A6" s="5" t="inlineStr">
        <is>
          <t>PCB-MD</t>
        </is>
      </c>
      <c r="B6" s="5" t="inlineStr">
        <is>
          <t>1.1.2</t>
        </is>
      </c>
      <c r="C6" s="5" t="inlineStr">
        <is>
          <t>Prueba de carga bidireccional</t>
        </is>
      </c>
      <c r="D6" s="5" t="inlineStr">
        <is>
          <t>Margen Derecha</t>
        </is>
      </c>
      <c r="E6" s="10" t="n">
        <v>392</v>
      </c>
      <c r="F6" s="11" t="n">
        <v>67.15000000000001</v>
      </c>
      <c r="G6" s="10" t="n">
        <v>14585</v>
      </c>
      <c r="H6" s="10" t="n">
        <v>108</v>
      </c>
      <c r="I6" s="11" t="n">
        <v>1050</v>
      </c>
      <c r="J6" s="11" t="n">
        <v>5.8</v>
      </c>
      <c r="K6" s="11" t="n">
        <v>110</v>
      </c>
      <c r="L6" s="10" t="n">
        <v>145000</v>
      </c>
      <c r="M6" s="12">
        <f>F6*I6+G6*J6+H6*K6+L6</f>
        <v/>
      </c>
      <c r="N6" s="23" t="n">
        <v>46027</v>
      </c>
      <c r="O6" s="23" t="n">
        <v>46053</v>
      </c>
      <c r="P6" s="13">
        <f>O6-N6+1</f>
        <v/>
      </c>
      <c r="Q6" s="5" t="inlineStr"/>
      <c r="R6" s="14">
        <f>MAX(0,MIN(1,(Parametros!$B$10-N6+1)/P6))</f>
        <v/>
      </c>
      <c r="S6" s="14">
        <f>IFERROR(INDEX(Avance_Mensual!$C6:$L6,1,MATCH(Parametros!$B$10,Avance_Mensual!$C$4:$L$4,0)),0)</f>
        <v/>
      </c>
      <c r="T6" s="12">
        <f>M6*R6</f>
        <v/>
      </c>
      <c r="U6" s="12">
        <f>M6*S6</f>
        <v/>
      </c>
      <c r="V6" s="15">
        <f>IF(T6=0,"",U6/T6)</f>
        <v/>
      </c>
      <c r="W6" s="13">
        <f>IF(S6&gt;=1,"Terminado",IF(R6-S6&gt;Parametros!$B$11,"Atrasado",IF(S6&gt;0,"En proceso","Pendiente")))</f>
        <v/>
      </c>
    </row>
    <row r="7">
      <c r="A7" s="5" t="inlineStr">
        <is>
          <t>SOL-MD</t>
        </is>
      </c>
      <c r="B7" s="5" t="inlineStr">
        <is>
          <t>1.1.3</t>
        </is>
      </c>
      <c r="C7" s="5" t="inlineStr">
        <is>
          <t>Solado</t>
        </is>
      </c>
      <c r="D7" s="5" t="inlineStr">
        <is>
          <t>Margen Derecha</t>
        </is>
      </c>
      <c r="E7" s="10" t="n">
        <v>1</v>
      </c>
      <c r="F7" s="11" t="n">
        <v>18.04</v>
      </c>
      <c r="G7" s="10" t="n">
        <v>0</v>
      </c>
      <c r="H7" s="10" t="n">
        <v>0</v>
      </c>
      <c r="I7" s="11" t="n">
        <v>340</v>
      </c>
      <c r="J7" s="11" t="n">
        <v>0</v>
      </c>
      <c r="K7" s="11" t="n">
        <v>0</v>
      </c>
      <c r="L7" s="10" t="n">
        <v>0</v>
      </c>
      <c r="M7" s="12">
        <f>F7*I7+G7*J7+H7*K7+L7</f>
        <v/>
      </c>
      <c r="N7" s="23" t="n">
        <v>46083</v>
      </c>
      <c r="O7" s="23" t="n">
        <v>46091</v>
      </c>
      <c r="P7" s="13">
        <f>O7-N7+1</f>
        <v/>
      </c>
      <c r="Q7" s="5" t="inlineStr">
        <is>
          <t>PIL-MD</t>
        </is>
      </c>
      <c r="R7" s="14">
        <f>MAX(0,MIN(1,(Parametros!$B$10-N7+1)/P7))</f>
        <v/>
      </c>
      <c r="S7" s="14">
        <f>IFERROR(INDEX(Avance_Mensual!$C7:$L7,1,MATCH(Parametros!$B$10,Avance_Mensual!$C$4:$L$4,0)),0)</f>
        <v/>
      </c>
      <c r="T7" s="12">
        <f>M7*R7</f>
        <v/>
      </c>
      <c r="U7" s="12">
        <f>M7*S7</f>
        <v/>
      </c>
      <c r="V7" s="15">
        <f>IF(T7=0,"",U7/T7)</f>
        <v/>
      </c>
      <c r="W7" s="13">
        <f>IF(S7&gt;=1,"Terminado",IF(R7-S7&gt;Parametros!$B$11,"Atrasado",IF(S7&gt;0,"En proceso","Pendiente")))</f>
        <v/>
      </c>
    </row>
    <row r="8">
      <c r="A8" s="5" t="inlineStr">
        <is>
          <t>CAB-MD</t>
        </is>
      </c>
      <c r="B8" s="5" t="inlineStr">
        <is>
          <t>1.1.4</t>
        </is>
      </c>
      <c r="C8" s="5" t="inlineStr">
        <is>
          <t>Cabezal</t>
        </is>
      </c>
      <c r="D8" s="5" t="inlineStr">
        <is>
          <t>Margen Derecha</t>
        </is>
      </c>
      <c r="E8" s="10" t="n">
        <v>3792</v>
      </c>
      <c r="F8" s="11" t="n">
        <v>714</v>
      </c>
      <c r="G8" s="10" t="n">
        <v>34163</v>
      </c>
      <c r="H8" s="10" t="n">
        <v>0</v>
      </c>
      <c r="I8" s="11" t="n">
        <v>690</v>
      </c>
      <c r="J8" s="11" t="n">
        <v>5.8</v>
      </c>
      <c r="K8" s="11" t="n">
        <v>0</v>
      </c>
      <c r="L8" s="10" t="n">
        <v>0</v>
      </c>
      <c r="M8" s="12">
        <f>F8*I8+G8*J8+H8*K8+L8</f>
        <v/>
      </c>
      <c r="N8" s="23" t="n">
        <v>46091</v>
      </c>
      <c r="O8" s="23" t="n">
        <v>46122</v>
      </c>
      <c r="P8" s="13">
        <f>O8-N8+1</f>
        <v/>
      </c>
      <c r="Q8" s="5" t="inlineStr">
        <is>
          <t>SOL-MD</t>
        </is>
      </c>
      <c r="R8" s="14">
        <f>MAX(0,MIN(1,(Parametros!$B$10-N8+1)/P8))</f>
        <v/>
      </c>
      <c r="S8" s="14">
        <f>IFERROR(INDEX(Avance_Mensual!$C8:$L8,1,MATCH(Parametros!$B$10,Avance_Mensual!$C$4:$L$4,0)),0)</f>
        <v/>
      </c>
      <c r="T8" s="12">
        <f>M8*R8</f>
        <v/>
      </c>
      <c r="U8" s="12">
        <f>M8*S8</f>
        <v/>
      </c>
      <c r="V8" s="15">
        <f>IF(T8=0,"",U8/T8)</f>
        <v/>
      </c>
      <c r="W8" s="13">
        <f>IF(S8&gt;=1,"Terminado",IF(R8-S8&gt;Parametros!$B$11,"Atrasado",IF(S8&gt;0,"En proceso","Pendiente")))</f>
        <v/>
      </c>
    </row>
    <row r="9">
      <c r="A9" s="5" t="inlineStr">
        <is>
          <t>COL-MD</t>
        </is>
      </c>
      <c r="B9" s="5" t="inlineStr">
        <is>
          <t>1.1.5</t>
        </is>
      </c>
      <c r="C9" s="5" t="inlineStr">
        <is>
          <t>Columna y tirante</t>
        </is>
      </c>
      <c r="D9" s="5" t="inlineStr">
        <is>
          <t>Margen Derecha</t>
        </is>
      </c>
      <c r="E9" s="10" t="n">
        <v>2468</v>
      </c>
      <c r="F9" s="11" t="n">
        <v>75.54000000000001</v>
      </c>
      <c r="G9" s="10" t="n">
        <v>8192</v>
      </c>
      <c r="H9" s="10" t="n">
        <v>0</v>
      </c>
      <c r="I9" s="11" t="n">
        <v>980</v>
      </c>
      <c r="J9" s="11" t="n">
        <v>5.8</v>
      </c>
      <c r="K9" s="11" t="n">
        <v>0</v>
      </c>
      <c r="L9" s="10" t="n">
        <v>0</v>
      </c>
      <c r="M9" s="12">
        <f>F9*I9+G9*J9+H9*K9+L9</f>
        <v/>
      </c>
      <c r="N9" s="23" t="n">
        <v>46123</v>
      </c>
      <c r="O9" s="23" t="n">
        <v>46152</v>
      </c>
      <c r="P9" s="13">
        <f>O9-N9+1</f>
        <v/>
      </c>
      <c r="Q9" s="5" t="inlineStr">
        <is>
          <t>CAB-MD</t>
        </is>
      </c>
      <c r="R9" s="14">
        <f>MAX(0,MIN(1,(Parametros!$B$10-N9+1)/P9))</f>
        <v/>
      </c>
      <c r="S9" s="14">
        <f>IFERROR(INDEX(Avance_Mensual!$C9:$L9,1,MATCH(Parametros!$B$10,Avance_Mensual!$C$4:$L$4,0)),0)</f>
        <v/>
      </c>
      <c r="T9" s="12">
        <f>M9*R9</f>
        <v/>
      </c>
      <c r="U9" s="12">
        <f>M9*S9</f>
        <v/>
      </c>
      <c r="V9" s="15">
        <f>IF(T9=0,"",U9/T9)</f>
        <v/>
      </c>
      <c r="W9" s="13">
        <f>IF(S9&gt;=1,"Terminado",IF(R9-S9&gt;Parametros!$B$11,"Atrasado",IF(S9&gt;0,"En proceso","Pendiente")))</f>
        <v/>
      </c>
    </row>
    <row r="10">
      <c r="A10" s="5" t="inlineStr">
        <is>
          <t>MUR-MD</t>
        </is>
      </c>
      <c r="B10" s="5" t="inlineStr">
        <is>
          <t>1.1.6</t>
        </is>
      </c>
      <c r="C10" s="5" t="inlineStr">
        <is>
          <t>Muros del estribo</t>
        </is>
      </c>
      <c r="D10" s="5" t="inlineStr">
        <is>
          <t>Margen Derecha</t>
        </is>
      </c>
      <c r="E10" s="10" t="n">
        <v>232</v>
      </c>
      <c r="F10" s="11" t="n">
        <v>427.38</v>
      </c>
      <c r="G10" s="10" t="n">
        <v>69981</v>
      </c>
      <c r="H10" s="10" t="n">
        <v>0</v>
      </c>
      <c r="I10" s="11" t="n">
        <v>690</v>
      </c>
      <c r="J10" s="11" t="n">
        <v>5.8</v>
      </c>
      <c r="K10" s="11" t="n">
        <v>0</v>
      </c>
      <c r="L10" s="10" t="n">
        <v>0</v>
      </c>
      <c r="M10" s="12">
        <f>F10*I10+G10*J10+H10*K10+L10</f>
        <v/>
      </c>
      <c r="N10" s="23" t="n">
        <v>46147</v>
      </c>
      <c r="O10" s="23" t="n">
        <v>46188</v>
      </c>
      <c r="P10" s="13">
        <f>O10-N10+1</f>
        <v/>
      </c>
      <c r="Q10" s="5" t="inlineStr">
        <is>
          <t>COL-MD</t>
        </is>
      </c>
      <c r="R10" s="14">
        <f>MAX(0,MIN(1,(Parametros!$B$10-N10+1)/P10))</f>
        <v/>
      </c>
      <c r="S10" s="14">
        <f>IFERROR(INDEX(Avance_Mensual!$C10:$L10,1,MATCH(Parametros!$B$10,Avance_Mensual!$C$4:$L$4,0)),0)</f>
        <v/>
      </c>
      <c r="T10" s="12">
        <f>M10*R10</f>
        <v/>
      </c>
      <c r="U10" s="12">
        <f>M10*S10</f>
        <v/>
      </c>
      <c r="V10" s="15">
        <f>IF(T10=0,"",U10/T10)</f>
        <v/>
      </c>
      <c r="W10" s="13">
        <f>IF(S10&gt;=1,"Terminado",IF(R10-S10&gt;Parametros!$B$11,"Atrasado",IF(S10&gt;0,"En proceso","Pendiente")))</f>
        <v/>
      </c>
    </row>
    <row r="11">
      <c r="A11" s="5" t="inlineStr">
        <is>
          <t>BLQ-MD</t>
        </is>
      </c>
      <c r="B11" s="5" t="inlineStr">
        <is>
          <t>1.1.7</t>
        </is>
      </c>
      <c r="C11" s="5" t="inlineStr">
        <is>
          <t>Bloque y ménsula</t>
        </is>
      </c>
      <c r="D11" s="5" t="inlineStr">
        <is>
          <t>Margen Derecha</t>
        </is>
      </c>
      <c r="E11" s="10" t="n">
        <v>2</v>
      </c>
      <c r="F11" s="11" t="n">
        <v>12.95</v>
      </c>
      <c r="G11" s="10" t="n">
        <v>0</v>
      </c>
      <c r="H11" s="10" t="n">
        <v>0</v>
      </c>
      <c r="I11" s="11" t="n">
        <v>340</v>
      </c>
      <c r="J11" s="11" t="n">
        <v>0</v>
      </c>
      <c r="K11" s="11" t="n">
        <v>0</v>
      </c>
      <c r="L11" s="10" t="n">
        <v>0</v>
      </c>
      <c r="M11" s="12">
        <f>F11*I11+G11*J11+H11*K11+L11</f>
        <v/>
      </c>
      <c r="N11" s="23" t="n">
        <v>46183</v>
      </c>
      <c r="O11" s="23" t="n">
        <v>46203</v>
      </c>
      <c r="P11" s="13">
        <f>O11-N11+1</f>
        <v/>
      </c>
      <c r="Q11" s="5" t="inlineStr">
        <is>
          <t>MUR-MD</t>
        </is>
      </c>
      <c r="R11" s="14">
        <f>MAX(0,MIN(1,(Parametros!$B$10-N11+1)/P11))</f>
        <v/>
      </c>
      <c r="S11" s="14">
        <f>IFERROR(INDEX(Avance_Mensual!$C11:$L11,1,MATCH(Parametros!$B$10,Avance_Mensual!$C$4:$L$4,0)),0)</f>
        <v/>
      </c>
      <c r="T11" s="12">
        <f>M11*R11</f>
        <v/>
      </c>
      <c r="U11" s="12">
        <f>M11*S11</f>
        <v/>
      </c>
      <c r="V11" s="15">
        <f>IF(T11=0,"",U11/T11)</f>
        <v/>
      </c>
      <c r="W11" s="13">
        <f>IF(S11&gt;=1,"Terminado",IF(R11-S11&gt;Parametros!$B$11,"Atrasado",IF(S11&gt;0,"En proceso","Pendiente")))</f>
        <v/>
      </c>
    </row>
    <row r="12">
      <c r="A12" s="5" t="inlineStr">
        <is>
          <t>POS-MD</t>
        </is>
      </c>
      <c r="B12" s="5" t="inlineStr">
        <is>
          <t>1.1.8</t>
        </is>
      </c>
      <c r="C12" s="5" t="inlineStr">
        <is>
          <t>Postensado (ductos)</t>
        </is>
      </c>
      <c r="D12" s="5" t="inlineStr">
        <is>
          <t>Margen Derecha</t>
        </is>
      </c>
      <c r="E12" s="10" t="n">
        <v>112</v>
      </c>
      <c r="F12" s="11" t="n">
        <v>0</v>
      </c>
      <c r="G12" s="10" t="n">
        <v>414</v>
      </c>
      <c r="H12" s="10" t="n">
        <v>24</v>
      </c>
      <c r="I12" s="11" t="n">
        <v>0</v>
      </c>
      <c r="J12" s="11" t="n">
        <v>5.8</v>
      </c>
      <c r="K12" s="11" t="n">
        <v>950</v>
      </c>
      <c r="L12" s="10" t="n">
        <v>0</v>
      </c>
      <c r="M12" s="12">
        <f>F12*I12+G12*J12+H12*K12+L12</f>
        <v/>
      </c>
      <c r="N12" s="23" t="n">
        <v>46174</v>
      </c>
      <c r="O12" s="23" t="n">
        <v>46203</v>
      </c>
      <c r="P12" s="13">
        <f>O12-N12+1</f>
        <v/>
      </c>
      <c r="Q12" s="5" t="inlineStr">
        <is>
          <t>MUR-MD</t>
        </is>
      </c>
      <c r="R12" s="14">
        <f>MAX(0,MIN(1,(Parametros!$B$10-N12+1)/P12))</f>
        <v/>
      </c>
      <c r="S12" s="14">
        <f>IFERROR(INDEX(Avance_Mensual!$C12:$L12,1,MATCH(Parametros!$B$10,Avance_Mensual!$C$4:$L$4,0)),0)</f>
        <v/>
      </c>
      <c r="T12" s="12">
        <f>M12*R12</f>
        <v/>
      </c>
      <c r="U12" s="12">
        <f>M12*S12</f>
        <v/>
      </c>
      <c r="V12" s="15">
        <f>IF(T12=0,"",U12/T12)</f>
        <v/>
      </c>
      <c r="W12" s="13">
        <f>IF(S12&gt;=1,"Terminado",IF(R12-S12&gt;Parametros!$B$11,"Atrasado",IF(S12&gt;0,"En proceso","Pendiente")))</f>
        <v/>
      </c>
    </row>
    <row r="13">
      <c r="A13" s="5" t="inlineStr">
        <is>
          <t>DRE-MD</t>
        </is>
      </c>
      <c r="B13" s="5" t="inlineStr">
        <is>
          <t>1.1.9</t>
        </is>
      </c>
      <c r="C13" s="5" t="inlineStr">
        <is>
          <t>Drenaje PVC Ø4"</t>
        </is>
      </c>
      <c r="D13" s="5" t="inlineStr">
        <is>
          <t>Margen Derecha</t>
        </is>
      </c>
      <c r="E13" s="10" t="n">
        <v>32</v>
      </c>
      <c r="F13" s="11" t="n">
        <v>0</v>
      </c>
      <c r="G13" s="10" t="n">
        <v>0</v>
      </c>
      <c r="H13" s="10" t="n">
        <v>32</v>
      </c>
      <c r="I13" s="11" t="n">
        <v>0</v>
      </c>
      <c r="J13" s="11" t="n">
        <v>0</v>
      </c>
      <c r="K13" s="11" t="n">
        <v>145</v>
      </c>
      <c r="L13" s="10" t="n">
        <v>0</v>
      </c>
      <c r="M13" s="12">
        <f>F13*I13+G13*J13+H13*K13+L13</f>
        <v/>
      </c>
      <c r="N13" s="23" t="n">
        <v>46188</v>
      </c>
      <c r="O13" s="23" t="n">
        <v>46213</v>
      </c>
      <c r="P13" s="13">
        <f>O13-N13+1</f>
        <v/>
      </c>
      <c r="Q13" s="5" t="inlineStr">
        <is>
          <t>MUR-MD</t>
        </is>
      </c>
      <c r="R13" s="14">
        <f>MAX(0,MIN(1,(Parametros!$B$10-N13+1)/P13))</f>
        <v/>
      </c>
      <c r="S13" s="14">
        <f>IFERROR(INDEX(Avance_Mensual!$C13:$L13,1,MATCH(Parametros!$B$10,Avance_Mensual!$C$4:$L$4,0)),0)</f>
        <v/>
      </c>
      <c r="T13" s="12">
        <f>M13*R13</f>
        <v/>
      </c>
      <c r="U13" s="12">
        <f>M13*S13</f>
        <v/>
      </c>
      <c r="V13" s="15">
        <f>IF(T13=0,"",U13/T13)</f>
        <v/>
      </c>
      <c r="W13" s="13">
        <f>IF(S13&gt;=1,"Terminado",IF(R13-S13&gt;Parametros!$B$11,"Atrasado",IF(S13&gt;0,"En proceso","Pendiente")))</f>
        <v/>
      </c>
    </row>
    <row r="14">
      <c r="A14" s="5" t="inlineStr">
        <is>
          <t>PIL-MI</t>
        </is>
      </c>
      <c r="B14" s="5" t="inlineStr">
        <is>
          <t>1.2.1</t>
        </is>
      </c>
      <c r="C14" s="5" t="inlineStr">
        <is>
          <t>Pilotes de cimentación</t>
        </is>
      </c>
      <c r="D14" s="5" t="inlineStr">
        <is>
          <t>Margen Izquierda</t>
        </is>
      </c>
      <c r="E14" s="10" t="n">
        <v>5160</v>
      </c>
      <c r="F14" s="11" t="n">
        <v>1060.29</v>
      </c>
      <c r="G14" s="10" t="n">
        <v>247959</v>
      </c>
      <c r="H14" s="10" t="n">
        <v>1440</v>
      </c>
      <c r="I14" s="11" t="n">
        <v>1050</v>
      </c>
      <c r="J14" s="11" t="n">
        <v>5.8</v>
      </c>
      <c r="K14" s="11" t="n">
        <v>110</v>
      </c>
      <c r="L14" s="10" t="n">
        <v>0</v>
      </c>
      <c r="M14" s="12">
        <f>F14*I14+G14*J14+H14*K14+L14</f>
        <v/>
      </c>
      <c r="N14" s="23" t="n">
        <v>46041</v>
      </c>
      <c r="O14" s="23" t="n">
        <v>46096</v>
      </c>
      <c r="P14" s="13">
        <f>O14-N14+1</f>
        <v/>
      </c>
      <c r="Q14" s="5" t="inlineStr"/>
      <c r="R14" s="14">
        <f>MAX(0,MIN(1,(Parametros!$B$10-N14+1)/P14))</f>
        <v/>
      </c>
      <c r="S14" s="14">
        <f>IFERROR(INDEX(Avance_Mensual!$C14:$L14,1,MATCH(Parametros!$B$10,Avance_Mensual!$C$4:$L$4,0)),0)</f>
        <v/>
      </c>
      <c r="T14" s="12">
        <f>M14*R14</f>
        <v/>
      </c>
      <c r="U14" s="12">
        <f>M14*S14</f>
        <v/>
      </c>
      <c r="V14" s="15">
        <f>IF(T14=0,"",U14/T14)</f>
        <v/>
      </c>
      <c r="W14" s="13">
        <f>IF(S14&gt;=1,"Terminado",IF(R14-S14&gt;Parametros!$B$11,"Atrasado",IF(S14&gt;0,"En proceso","Pendiente")))</f>
        <v/>
      </c>
    </row>
    <row r="15">
      <c r="A15" s="5" t="inlineStr">
        <is>
          <t>PCB-MI</t>
        </is>
      </c>
      <c r="B15" s="5" t="inlineStr">
        <is>
          <t>1.2.2</t>
        </is>
      </c>
      <c r="C15" s="5" t="inlineStr">
        <is>
          <t>Prueba de carga bidireccional</t>
        </is>
      </c>
      <c r="D15" s="5" t="inlineStr">
        <is>
          <t>Margen Izquierda</t>
        </is>
      </c>
      <c r="E15" s="10" t="n">
        <v>268</v>
      </c>
      <c r="F15" s="11" t="n">
        <v>53.01</v>
      </c>
      <c r="G15" s="10" t="n">
        <v>12348</v>
      </c>
      <c r="H15" s="10" t="n">
        <v>36</v>
      </c>
      <c r="I15" s="11" t="n">
        <v>1050</v>
      </c>
      <c r="J15" s="11" t="n">
        <v>5.8</v>
      </c>
      <c r="K15" s="11" t="n">
        <v>110</v>
      </c>
      <c r="L15" s="10" t="n">
        <v>145000</v>
      </c>
      <c r="M15" s="12">
        <f>F15*I15+G15*J15+H15*K15+L15</f>
        <v/>
      </c>
      <c r="N15" s="23" t="n">
        <v>46034</v>
      </c>
      <c r="O15" s="23" t="n">
        <v>46059</v>
      </c>
      <c r="P15" s="13">
        <f>O15-N15+1</f>
        <v/>
      </c>
      <c r="Q15" s="5" t="inlineStr"/>
      <c r="R15" s="14">
        <f>MAX(0,MIN(1,(Parametros!$B$10-N15+1)/P15))</f>
        <v/>
      </c>
      <c r="S15" s="14">
        <f>IFERROR(INDEX(Avance_Mensual!$C15:$L15,1,MATCH(Parametros!$B$10,Avance_Mensual!$C$4:$L$4,0)),0)</f>
        <v/>
      </c>
      <c r="T15" s="12">
        <f>M15*R15</f>
        <v/>
      </c>
      <c r="U15" s="12">
        <f>M15*S15</f>
        <v/>
      </c>
      <c r="V15" s="15">
        <f>IF(T15=0,"",U15/T15)</f>
        <v/>
      </c>
      <c r="W15" s="13">
        <f>IF(S15&gt;=1,"Terminado",IF(R15-S15&gt;Parametros!$B$11,"Atrasado",IF(S15&gt;0,"En proceso","Pendiente")))</f>
        <v/>
      </c>
    </row>
    <row r="16">
      <c r="A16" s="5" t="inlineStr">
        <is>
          <t>SOL-MI</t>
        </is>
      </c>
      <c r="B16" s="5" t="inlineStr">
        <is>
          <t>1.2.3</t>
        </is>
      </c>
      <c r="C16" s="5" t="inlineStr">
        <is>
          <t>Solado</t>
        </is>
      </c>
      <c r="D16" s="5" t="inlineStr">
        <is>
          <t>Margen Izquierda</t>
        </is>
      </c>
      <c r="E16" s="10" t="n">
        <v>1</v>
      </c>
      <c r="F16" s="11" t="n">
        <v>18.04</v>
      </c>
      <c r="G16" s="10" t="n">
        <v>0</v>
      </c>
      <c r="H16" s="10" t="n">
        <v>0</v>
      </c>
      <c r="I16" s="11" t="n">
        <v>340</v>
      </c>
      <c r="J16" s="11" t="n">
        <v>0</v>
      </c>
      <c r="K16" s="11" t="n">
        <v>0</v>
      </c>
      <c r="L16" s="10" t="n">
        <v>0</v>
      </c>
      <c r="M16" s="12">
        <f>F16*I16+G16*J16+H16*K16+L16</f>
        <v/>
      </c>
      <c r="N16" s="23" t="n">
        <v>46097</v>
      </c>
      <c r="O16" s="23" t="n">
        <v>46106</v>
      </c>
      <c r="P16" s="13">
        <f>O16-N16+1</f>
        <v/>
      </c>
      <c r="Q16" s="5" t="inlineStr">
        <is>
          <t>PIL-MI</t>
        </is>
      </c>
      <c r="R16" s="14">
        <f>MAX(0,MIN(1,(Parametros!$B$10-N16+1)/P16))</f>
        <v/>
      </c>
      <c r="S16" s="14">
        <f>IFERROR(INDEX(Avance_Mensual!$C16:$L16,1,MATCH(Parametros!$B$10,Avance_Mensual!$C$4:$L$4,0)),0)</f>
        <v/>
      </c>
      <c r="T16" s="12">
        <f>M16*R16</f>
        <v/>
      </c>
      <c r="U16" s="12">
        <f>M16*S16</f>
        <v/>
      </c>
      <c r="V16" s="15">
        <f>IF(T16=0,"",U16/T16)</f>
        <v/>
      </c>
      <c r="W16" s="13">
        <f>IF(S16&gt;=1,"Terminado",IF(R16-S16&gt;Parametros!$B$11,"Atrasado",IF(S16&gt;0,"En proceso","Pendiente")))</f>
        <v/>
      </c>
    </row>
    <row r="17">
      <c r="A17" s="5" t="inlineStr">
        <is>
          <t>CAB-MI</t>
        </is>
      </c>
      <c r="B17" s="5" t="inlineStr">
        <is>
          <t>1.2.4</t>
        </is>
      </c>
      <c r="C17" s="5" t="inlineStr">
        <is>
          <t>Cabezal</t>
        </is>
      </c>
      <c r="D17" s="5" t="inlineStr">
        <is>
          <t>Margen Izquierda</t>
        </is>
      </c>
      <c r="E17" s="10" t="n">
        <v>3792</v>
      </c>
      <c r="F17" s="11" t="n">
        <v>714</v>
      </c>
      <c r="G17" s="10" t="n">
        <v>34163</v>
      </c>
      <c r="H17" s="10" t="n">
        <v>0</v>
      </c>
      <c r="I17" s="11" t="n">
        <v>690</v>
      </c>
      <c r="J17" s="11" t="n">
        <v>5.8</v>
      </c>
      <c r="K17" s="11" t="n">
        <v>0</v>
      </c>
      <c r="L17" s="10" t="n">
        <v>0</v>
      </c>
      <c r="M17" s="12">
        <f>F17*I17+G17*J17+H17*K17+L17</f>
        <v/>
      </c>
      <c r="N17" s="23" t="n">
        <v>46107</v>
      </c>
      <c r="O17" s="23" t="n">
        <v>46137</v>
      </c>
      <c r="P17" s="13">
        <f>O17-N17+1</f>
        <v/>
      </c>
      <c r="Q17" s="5" t="inlineStr">
        <is>
          <t>SOL-MI</t>
        </is>
      </c>
      <c r="R17" s="14">
        <f>MAX(0,MIN(1,(Parametros!$B$10-N17+1)/P17))</f>
        <v/>
      </c>
      <c r="S17" s="14">
        <f>IFERROR(INDEX(Avance_Mensual!$C17:$L17,1,MATCH(Parametros!$B$10,Avance_Mensual!$C$4:$L$4,0)),0)</f>
        <v/>
      </c>
      <c r="T17" s="12">
        <f>M17*R17</f>
        <v/>
      </c>
      <c r="U17" s="12">
        <f>M17*S17</f>
        <v/>
      </c>
      <c r="V17" s="15">
        <f>IF(T17=0,"",U17/T17)</f>
        <v/>
      </c>
      <c r="W17" s="13">
        <f>IF(S17&gt;=1,"Terminado",IF(R17-S17&gt;Parametros!$B$11,"Atrasado",IF(S17&gt;0,"En proceso","Pendiente")))</f>
        <v/>
      </c>
    </row>
    <row r="18">
      <c r="A18" s="5" t="inlineStr">
        <is>
          <t>COL-MI</t>
        </is>
      </c>
      <c r="B18" s="5" t="inlineStr">
        <is>
          <t>1.2.5</t>
        </is>
      </c>
      <c r="C18" s="5" t="inlineStr">
        <is>
          <t>Columna y tirante</t>
        </is>
      </c>
      <c r="D18" s="5" t="inlineStr">
        <is>
          <t>Margen Izquierda</t>
        </is>
      </c>
      <c r="E18" s="10" t="n">
        <v>2468</v>
      </c>
      <c r="F18" s="11" t="n">
        <v>75.54000000000001</v>
      </c>
      <c r="G18" s="10" t="n">
        <v>8192</v>
      </c>
      <c r="H18" s="10" t="n">
        <v>0</v>
      </c>
      <c r="I18" s="11" t="n">
        <v>980</v>
      </c>
      <c r="J18" s="11" t="n">
        <v>5.8</v>
      </c>
      <c r="K18" s="11" t="n">
        <v>0</v>
      </c>
      <c r="L18" s="10" t="n">
        <v>0</v>
      </c>
      <c r="M18" s="12">
        <f>F18*I18+G18*J18+H18*K18+L18</f>
        <v/>
      </c>
      <c r="N18" s="23" t="n">
        <v>46138</v>
      </c>
      <c r="O18" s="23" t="n">
        <v>46167</v>
      </c>
      <c r="P18" s="13">
        <f>O18-N18+1</f>
        <v/>
      </c>
      <c r="Q18" s="5" t="inlineStr">
        <is>
          <t>CAB-MI</t>
        </is>
      </c>
      <c r="R18" s="14">
        <f>MAX(0,MIN(1,(Parametros!$B$10-N18+1)/P18))</f>
        <v/>
      </c>
      <c r="S18" s="14">
        <f>IFERROR(INDEX(Avance_Mensual!$C18:$L18,1,MATCH(Parametros!$B$10,Avance_Mensual!$C$4:$L$4,0)),0)</f>
        <v/>
      </c>
      <c r="T18" s="12">
        <f>M18*R18</f>
        <v/>
      </c>
      <c r="U18" s="12">
        <f>M18*S18</f>
        <v/>
      </c>
      <c r="V18" s="15">
        <f>IF(T18=0,"",U18/T18)</f>
        <v/>
      </c>
      <c r="W18" s="13">
        <f>IF(S18&gt;=1,"Terminado",IF(R18-S18&gt;Parametros!$B$11,"Atrasado",IF(S18&gt;0,"En proceso","Pendiente")))</f>
        <v/>
      </c>
    </row>
    <row r="19">
      <c r="A19" s="5" t="inlineStr">
        <is>
          <t>MUR-MI</t>
        </is>
      </c>
      <c r="B19" s="5" t="inlineStr">
        <is>
          <t>1.2.6</t>
        </is>
      </c>
      <c r="C19" s="5" t="inlineStr">
        <is>
          <t>Muros del estribo</t>
        </is>
      </c>
      <c r="D19" s="5" t="inlineStr">
        <is>
          <t>Margen Izquierda</t>
        </is>
      </c>
      <c r="E19" s="10" t="n">
        <v>232</v>
      </c>
      <c r="F19" s="11" t="n">
        <v>427.38</v>
      </c>
      <c r="G19" s="10" t="n">
        <v>69981</v>
      </c>
      <c r="H19" s="10" t="n">
        <v>0</v>
      </c>
      <c r="I19" s="11" t="n">
        <v>690</v>
      </c>
      <c r="J19" s="11" t="n">
        <v>5.8</v>
      </c>
      <c r="K19" s="11" t="n">
        <v>0</v>
      </c>
      <c r="L19" s="10" t="n">
        <v>0</v>
      </c>
      <c r="M19" s="12">
        <f>F19*I19+G19*J19+H19*K19+L19</f>
        <v/>
      </c>
      <c r="N19" s="23" t="n">
        <v>46162</v>
      </c>
      <c r="O19" s="23" t="n">
        <v>46203</v>
      </c>
      <c r="P19" s="13">
        <f>O19-N19+1</f>
        <v/>
      </c>
      <c r="Q19" s="5" t="inlineStr">
        <is>
          <t>COL-MI</t>
        </is>
      </c>
      <c r="R19" s="14">
        <f>MAX(0,MIN(1,(Parametros!$B$10-N19+1)/P19))</f>
        <v/>
      </c>
      <c r="S19" s="14">
        <f>IFERROR(INDEX(Avance_Mensual!$C19:$L19,1,MATCH(Parametros!$B$10,Avance_Mensual!$C$4:$L$4,0)),0)</f>
        <v/>
      </c>
      <c r="T19" s="12">
        <f>M19*R19</f>
        <v/>
      </c>
      <c r="U19" s="12">
        <f>M19*S19</f>
        <v/>
      </c>
      <c r="V19" s="15">
        <f>IF(T19=0,"",U19/T19)</f>
        <v/>
      </c>
      <c r="W19" s="13">
        <f>IF(S19&gt;=1,"Terminado",IF(R19-S19&gt;Parametros!$B$11,"Atrasado",IF(S19&gt;0,"En proceso","Pendiente")))</f>
        <v/>
      </c>
    </row>
    <row r="20">
      <c r="A20" s="5" t="inlineStr">
        <is>
          <t>BLQ-MI</t>
        </is>
      </c>
      <c r="B20" s="5" t="inlineStr">
        <is>
          <t>1.2.7</t>
        </is>
      </c>
      <c r="C20" s="5" t="inlineStr">
        <is>
          <t>Bloque y ménsula</t>
        </is>
      </c>
      <c r="D20" s="5" t="inlineStr">
        <is>
          <t>Margen Izquierda</t>
        </is>
      </c>
      <c r="E20" s="10" t="n">
        <v>2</v>
      </c>
      <c r="F20" s="11" t="n">
        <v>12.95</v>
      </c>
      <c r="G20" s="10" t="n">
        <v>0</v>
      </c>
      <c r="H20" s="10" t="n">
        <v>0</v>
      </c>
      <c r="I20" s="11" t="n">
        <v>340</v>
      </c>
      <c r="J20" s="11" t="n">
        <v>0</v>
      </c>
      <c r="K20" s="11" t="n">
        <v>0</v>
      </c>
      <c r="L20" s="10" t="n">
        <v>0</v>
      </c>
      <c r="M20" s="12">
        <f>F20*I20+G20*J20+H20*K20+L20</f>
        <v/>
      </c>
      <c r="N20" s="23" t="n">
        <v>46198</v>
      </c>
      <c r="O20" s="23" t="n">
        <v>46218</v>
      </c>
      <c r="P20" s="13">
        <f>O20-N20+1</f>
        <v/>
      </c>
      <c r="Q20" s="5" t="inlineStr">
        <is>
          <t>MUR-MI</t>
        </is>
      </c>
      <c r="R20" s="14">
        <f>MAX(0,MIN(1,(Parametros!$B$10-N20+1)/P20))</f>
        <v/>
      </c>
      <c r="S20" s="14">
        <f>IFERROR(INDEX(Avance_Mensual!$C20:$L20,1,MATCH(Parametros!$B$10,Avance_Mensual!$C$4:$L$4,0)),0)</f>
        <v/>
      </c>
      <c r="T20" s="12">
        <f>M20*R20</f>
        <v/>
      </c>
      <c r="U20" s="12">
        <f>M20*S20</f>
        <v/>
      </c>
      <c r="V20" s="15">
        <f>IF(T20=0,"",U20/T20)</f>
        <v/>
      </c>
      <c r="W20" s="13">
        <f>IF(S20&gt;=1,"Terminado",IF(R20-S20&gt;Parametros!$B$11,"Atrasado",IF(S20&gt;0,"En proceso","Pendiente")))</f>
        <v/>
      </c>
    </row>
    <row r="21">
      <c r="A21" s="5" t="inlineStr">
        <is>
          <t>POS-MI</t>
        </is>
      </c>
      <c r="B21" s="5" t="inlineStr">
        <is>
          <t>1.2.8</t>
        </is>
      </c>
      <c r="C21" s="5" t="inlineStr">
        <is>
          <t>Postensado (ductos)</t>
        </is>
      </c>
      <c r="D21" s="5" t="inlineStr">
        <is>
          <t>Margen Izquierda</t>
        </is>
      </c>
      <c r="E21" s="10" t="n">
        <v>112</v>
      </c>
      <c r="F21" s="11" t="n">
        <v>0</v>
      </c>
      <c r="G21" s="10" t="n">
        <v>414</v>
      </c>
      <c r="H21" s="10" t="n">
        <v>24</v>
      </c>
      <c r="I21" s="11" t="n">
        <v>0</v>
      </c>
      <c r="J21" s="11" t="n">
        <v>5.8</v>
      </c>
      <c r="K21" s="11" t="n">
        <v>950</v>
      </c>
      <c r="L21" s="10" t="n">
        <v>0</v>
      </c>
      <c r="M21" s="12">
        <f>F21*I21+G21*J21+H21*K21+L21</f>
        <v/>
      </c>
      <c r="N21" s="23" t="n">
        <v>46188</v>
      </c>
      <c r="O21" s="23" t="n">
        <v>46213</v>
      </c>
      <c r="P21" s="13">
        <f>O21-N21+1</f>
        <v/>
      </c>
      <c r="Q21" s="5" t="inlineStr">
        <is>
          <t>MUR-MI</t>
        </is>
      </c>
      <c r="R21" s="14">
        <f>MAX(0,MIN(1,(Parametros!$B$10-N21+1)/P21))</f>
        <v/>
      </c>
      <c r="S21" s="14">
        <f>IFERROR(INDEX(Avance_Mensual!$C21:$L21,1,MATCH(Parametros!$B$10,Avance_Mensual!$C$4:$L$4,0)),0)</f>
        <v/>
      </c>
      <c r="T21" s="12">
        <f>M21*R21</f>
        <v/>
      </c>
      <c r="U21" s="12">
        <f>M21*S21</f>
        <v/>
      </c>
      <c r="V21" s="15">
        <f>IF(T21=0,"",U21/T21)</f>
        <v/>
      </c>
      <c r="W21" s="13">
        <f>IF(S21&gt;=1,"Terminado",IF(R21-S21&gt;Parametros!$B$11,"Atrasado",IF(S21&gt;0,"En proceso","Pendiente")))</f>
        <v/>
      </c>
    </row>
    <row r="22">
      <c r="A22" s="5" t="inlineStr">
        <is>
          <t>TAB-MD-D1</t>
        </is>
      </c>
      <c r="B22" s="5" t="inlineStr">
        <is>
          <t>2.1.1</t>
        </is>
      </c>
      <c r="C22" s="5" t="inlineStr">
        <is>
          <t>Dovela D1 (diafragma extremo)</t>
        </is>
      </c>
      <c r="D22" s="5" t="inlineStr">
        <is>
          <t>Margen Derecha</t>
        </is>
      </c>
      <c r="E22" s="10" t="n">
        <v>8</v>
      </c>
      <c r="F22" s="11" t="n">
        <v>112.95</v>
      </c>
      <c r="G22" s="10" t="n">
        <v>75</v>
      </c>
      <c r="H22" s="10" t="n">
        <v>0</v>
      </c>
      <c r="I22" s="11" t="n">
        <v>1250</v>
      </c>
      <c r="J22" s="11" t="n">
        <v>5.8</v>
      </c>
      <c r="K22" s="11" t="n">
        <v>0</v>
      </c>
      <c r="L22" s="10" t="n">
        <v>0</v>
      </c>
      <c r="M22" s="12">
        <f>F22*I22+G22*J22+H22*K22+L22</f>
        <v/>
      </c>
      <c r="N22" s="23" t="n">
        <v>46204</v>
      </c>
      <c r="O22" s="23" t="n">
        <v>46218</v>
      </c>
      <c r="P22" s="13">
        <f>O22-N22+1</f>
        <v/>
      </c>
      <c r="Q22" s="5" t="inlineStr">
        <is>
          <t>BLQ-MD</t>
        </is>
      </c>
      <c r="R22" s="14">
        <f>MAX(0,MIN(1,(Parametros!$B$10-N22+1)/P22))</f>
        <v/>
      </c>
      <c r="S22" s="14">
        <f>IFERROR(INDEX(Avance_Mensual!$C22:$L22,1,MATCH(Parametros!$B$10,Avance_Mensual!$C$4:$L$4,0)),0)</f>
        <v/>
      </c>
      <c r="T22" s="12">
        <f>M22*R22</f>
        <v/>
      </c>
      <c r="U22" s="12">
        <f>M22*S22</f>
        <v/>
      </c>
      <c r="V22" s="15">
        <f>IF(T22=0,"",U22/T22)</f>
        <v/>
      </c>
      <c r="W22" s="13">
        <f>IF(S22&gt;=1,"Terminado",IF(R22-S22&gt;Parametros!$B$11,"Atrasado",IF(S22&gt;0,"En proceso","Pendiente")))</f>
        <v/>
      </c>
    </row>
    <row r="23">
      <c r="A23" s="5" t="inlineStr">
        <is>
          <t>TAB-MD-D2</t>
        </is>
      </c>
      <c r="B23" s="5" t="inlineStr">
        <is>
          <t>2.1.2</t>
        </is>
      </c>
      <c r="C23" s="5" t="inlineStr">
        <is>
          <t>Dovela D2 (sobre estribo)</t>
        </is>
      </c>
      <c r="D23" s="5" t="inlineStr">
        <is>
          <t>Margen Derecha</t>
        </is>
      </c>
      <c r="E23" s="10" t="n">
        <v>5</v>
      </c>
      <c r="F23" s="11" t="n">
        <v>140.49</v>
      </c>
      <c r="G23" s="10" t="n">
        <v>70</v>
      </c>
      <c r="H23" s="10" t="n">
        <v>0</v>
      </c>
      <c r="I23" s="11" t="n">
        <v>1250</v>
      </c>
      <c r="J23" s="11" t="n">
        <v>5.8</v>
      </c>
      <c r="K23" s="11" t="n">
        <v>0</v>
      </c>
      <c r="L23" s="10" t="n">
        <v>0</v>
      </c>
      <c r="M23" s="12">
        <f>F23*I23+G23*J23+H23*K23+L23</f>
        <v/>
      </c>
      <c r="N23" s="23" t="n">
        <v>46216</v>
      </c>
      <c r="O23" s="23" t="n">
        <v>46234</v>
      </c>
      <c r="P23" s="13">
        <f>O23-N23+1</f>
        <v/>
      </c>
      <c r="Q23" s="5" t="inlineStr">
        <is>
          <t>TAB-MD-D1</t>
        </is>
      </c>
      <c r="R23" s="14">
        <f>MAX(0,MIN(1,(Parametros!$B$10-N23+1)/P23))</f>
        <v/>
      </c>
      <c r="S23" s="14">
        <f>IFERROR(INDEX(Avance_Mensual!$C23:$L23,1,MATCH(Parametros!$B$10,Avance_Mensual!$C$4:$L$4,0)),0)</f>
        <v/>
      </c>
      <c r="T23" s="12">
        <f>M23*R23</f>
        <v/>
      </c>
      <c r="U23" s="12">
        <f>M23*S23</f>
        <v/>
      </c>
      <c r="V23" s="15">
        <f>IF(T23=0,"",U23/T23)</f>
        <v/>
      </c>
      <c r="W23" s="13">
        <f>IF(S23&gt;=1,"Terminado",IF(R23-S23&gt;Parametros!$B$11,"Atrasado",IF(S23&gt;0,"En proceso","Pendiente")))</f>
        <v/>
      </c>
    </row>
    <row r="24">
      <c r="A24" s="5" t="inlineStr">
        <is>
          <t>TAB-MD-D3</t>
        </is>
      </c>
      <c r="B24" s="5" t="inlineStr">
        <is>
          <t>2.1.3</t>
        </is>
      </c>
      <c r="C24" s="5" t="inlineStr">
        <is>
          <t>Dovela D3 (sobre estribo)</t>
        </is>
      </c>
      <c r="D24" s="5" t="inlineStr">
        <is>
          <t>Margen Derecha</t>
        </is>
      </c>
      <c r="E24" s="10" t="n">
        <v>17</v>
      </c>
      <c r="F24" s="11" t="n">
        <v>112.69</v>
      </c>
      <c r="G24" s="10" t="n">
        <v>9419</v>
      </c>
      <c r="H24" s="10" t="n">
        <v>0</v>
      </c>
      <c r="I24" s="11" t="n">
        <v>1250</v>
      </c>
      <c r="J24" s="11" t="n">
        <v>5.8</v>
      </c>
      <c r="K24" s="11" t="n">
        <v>0</v>
      </c>
      <c r="L24" s="10" t="n">
        <v>0</v>
      </c>
      <c r="M24" s="12">
        <f>F24*I24+G24*J24+H24*K24+L24</f>
        <v/>
      </c>
      <c r="N24" s="23" t="n">
        <v>46232</v>
      </c>
      <c r="O24" s="23" t="n">
        <v>46251</v>
      </c>
      <c r="P24" s="13">
        <f>O24-N24+1</f>
        <v/>
      </c>
      <c r="Q24" s="5" t="inlineStr">
        <is>
          <t>TAB-MD-D2</t>
        </is>
      </c>
      <c r="R24" s="14">
        <f>MAX(0,MIN(1,(Parametros!$B$10-N24+1)/P24))</f>
        <v/>
      </c>
      <c r="S24" s="14">
        <f>IFERROR(INDEX(Avance_Mensual!$C24:$L24,1,MATCH(Parametros!$B$10,Avance_Mensual!$C$4:$L$4,0)),0)</f>
        <v/>
      </c>
      <c r="T24" s="12">
        <f>M24*R24</f>
        <v/>
      </c>
      <c r="U24" s="12">
        <f>M24*S24</f>
        <v/>
      </c>
      <c r="V24" s="15">
        <f>IF(T24=0,"",U24/T24)</f>
        <v/>
      </c>
      <c r="W24" s="13">
        <f>IF(S24&gt;=1,"Terminado",IF(R24-S24&gt;Parametros!$B$11,"Atrasado",IF(S24&gt;0,"En proceso","Pendiente")))</f>
        <v/>
      </c>
    </row>
    <row r="25">
      <c r="A25" s="5" t="inlineStr">
        <is>
          <t>TAB-MD-D4</t>
        </is>
      </c>
      <c r="B25" s="5" t="inlineStr">
        <is>
          <t>2.1.4</t>
        </is>
      </c>
      <c r="C25" s="5" t="inlineStr">
        <is>
          <t>Dovela D4 (luz central)</t>
        </is>
      </c>
      <c r="D25" s="5" t="inlineStr">
        <is>
          <t>Margen Derecha</t>
        </is>
      </c>
      <c r="E25" s="10" t="n">
        <v>318</v>
      </c>
      <c r="F25" s="11" t="n">
        <v>243.75</v>
      </c>
      <c r="G25" s="10" t="n">
        <v>216249</v>
      </c>
      <c r="H25" s="10" t="n">
        <v>0</v>
      </c>
      <c r="I25" s="11" t="n">
        <v>1250</v>
      </c>
      <c r="J25" s="11" t="n">
        <v>5.8</v>
      </c>
      <c r="K25" s="11" t="n">
        <v>0</v>
      </c>
      <c r="L25" s="10" t="n">
        <v>0</v>
      </c>
      <c r="M25" s="12">
        <f>F25*I25+G25*J25+H25*K25+L25</f>
        <v/>
      </c>
      <c r="N25" s="23" t="n">
        <v>46248</v>
      </c>
      <c r="O25" s="23" t="n">
        <v>46277</v>
      </c>
      <c r="P25" s="13">
        <f>O25-N25+1</f>
        <v/>
      </c>
      <c r="Q25" s="5" t="inlineStr">
        <is>
          <t>TAB-MD-D3</t>
        </is>
      </c>
      <c r="R25" s="14">
        <f>MAX(0,MIN(1,(Parametros!$B$10-N25+1)/P25))</f>
        <v/>
      </c>
      <c r="S25" s="14">
        <f>IFERROR(INDEX(Avance_Mensual!$C25:$L25,1,MATCH(Parametros!$B$10,Avance_Mensual!$C$4:$L$4,0)),0)</f>
        <v/>
      </c>
      <c r="T25" s="12">
        <f>M25*R25</f>
        <v/>
      </c>
      <c r="U25" s="12">
        <f>M25*S25</f>
        <v/>
      </c>
      <c r="V25" s="15">
        <f>IF(T25=0,"",U25/T25)</f>
        <v/>
      </c>
      <c r="W25" s="13">
        <f>IF(S25&gt;=1,"Terminado",IF(R25-S25&gt;Parametros!$B$11,"Atrasado",IF(S25&gt;0,"En proceso","Pendiente")))</f>
        <v/>
      </c>
    </row>
    <row r="26">
      <c r="A26" s="5" t="inlineStr">
        <is>
          <t>TAB-MD-D5</t>
        </is>
      </c>
      <c r="B26" s="5" t="inlineStr">
        <is>
          <t>2.1.5</t>
        </is>
      </c>
      <c r="C26" s="5" t="inlineStr">
        <is>
          <t>Dovela D5 (luz central)</t>
        </is>
      </c>
      <c r="D26" s="5" t="inlineStr">
        <is>
          <t>Margen Derecha</t>
        </is>
      </c>
      <c r="E26" s="10" t="n">
        <v>241</v>
      </c>
      <c r="F26" s="11" t="n">
        <v>207.45</v>
      </c>
      <c r="G26" s="10" t="n">
        <v>117319</v>
      </c>
      <c r="H26" s="10" t="n">
        <v>0</v>
      </c>
      <c r="I26" s="11" t="n">
        <v>1250</v>
      </c>
      <c r="J26" s="11" t="n">
        <v>5.8</v>
      </c>
      <c r="K26" s="11" t="n">
        <v>0</v>
      </c>
      <c r="L26" s="10" t="n">
        <v>0</v>
      </c>
      <c r="M26" s="12">
        <f>F26*I26+G26*J26+H26*K26+L26</f>
        <v/>
      </c>
      <c r="N26" s="23" t="n">
        <v>46273</v>
      </c>
      <c r="O26" s="23" t="n">
        <v>46301</v>
      </c>
      <c r="P26" s="13">
        <f>O26-N26+1</f>
        <v/>
      </c>
      <c r="Q26" s="5" t="inlineStr">
        <is>
          <t>TAB-MD-D4</t>
        </is>
      </c>
      <c r="R26" s="14">
        <f>MAX(0,MIN(1,(Parametros!$B$10-N26+1)/P26))</f>
        <v/>
      </c>
      <c r="S26" s="14">
        <f>IFERROR(INDEX(Avance_Mensual!$C26:$L26,1,MATCH(Parametros!$B$10,Avance_Mensual!$C$4:$L$4,0)),0)</f>
        <v/>
      </c>
      <c r="T26" s="12">
        <f>M26*R26</f>
        <v/>
      </c>
      <c r="U26" s="12">
        <f>M26*S26</f>
        <v/>
      </c>
      <c r="V26" s="15">
        <f>IF(T26=0,"",U26/T26)</f>
        <v/>
      </c>
      <c r="W26" s="13">
        <f>IF(S26&gt;=1,"Terminado",IF(R26-S26&gt;Parametros!$B$11,"Atrasado",IF(S26&gt;0,"En proceso","Pendiente")))</f>
        <v/>
      </c>
    </row>
    <row r="27">
      <c r="A27" s="5" t="inlineStr">
        <is>
          <t>TAB-MI-D1</t>
        </is>
      </c>
      <c r="B27" s="5" t="inlineStr">
        <is>
          <t>2.2.1</t>
        </is>
      </c>
      <c r="C27" s="5" t="inlineStr">
        <is>
          <t>Dovela D1 (diafragma extremo)</t>
        </is>
      </c>
      <c r="D27" s="5" t="inlineStr">
        <is>
          <t>Margen Izquierda</t>
        </is>
      </c>
      <c r="E27" s="10" t="n">
        <v>2</v>
      </c>
      <c r="F27" s="11" t="n">
        <v>112.95</v>
      </c>
      <c r="G27" s="10" t="n">
        <v>25</v>
      </c>
      <c r="H27" s="10" t="n">
        <v>0</v>
      </c>
      <c r="I27" s="11" t="n">
        <v>1250</v>
      </c>
      <c r="J27" s="11" t="n">
        <v>5.8</v>
      </c>
      <c r="K27" s="11" t="n">
        <v>0</v>
      </c>
      <c r="L27" s="10" t="n">
        <v>0</v>
      </c>
      <c r="M27" s="12">
        <f>F27*I27+G27*J27+H27*K27+L27</f>
        <v/>
      </c>
      <c r="N27" s="23" t="n">
        <v>46219</v>
      </c>
      <c r="O27" s="23" t="n">
        <v>46233</v>
      </c>
      <c r="P27" s="13">
        <f>O27-N27+1</f>
        <v/>
      </c>
      <c r="Q27" s="5" t="inlineStr">
        <is>
          <t>BLQ-MI</t>
        </is>
      </c>
      <c r="R27" s="14">
        <f>MAX(0,MIN(1,(Parametros!$B$10-N27+1)/P27))</f>
        <v/>
      </c>
      <c r="S27" s="14">
        <f>IFERROR(INDEX(Avance_Mensual!$C27:$L27,1,MATCH(Parametros!$B$10,Avance_Mensual!$C$4:$L$4,0)),0)</f>
        <v/>
      </c>
      <c r="T27" s="12">
        <f>M27*R27</f>
        <v/>
      </c>
      <c r="U27" s="12">
        <f>M27*S27</f>
        <v/>
      </c>
      <c r="V27" s="15">
        <f>IF(T27=0,"",U27/T27)</f>
        <v/>
      </c>
      <c r="W27" s="13">
        <f>IF(S27&gt;=1,"Terminado",IF(R27-S27&gt;Parametros!$B$11,"Atrasado",IF(S27&gt;0,"En proceso","Pendiente")))</f>
        <v/>
      </c>
    </row>
    <row r="28">
      <c r="A28" s="5" t="inlineStr">
        <is>
          <t>TAB-MI-D2</t>
        </is>
      </c>
      <c r="B28" s="5" t="inlineStr">
        <is>
          <t>2.2.2</t>
        </is>
      </c>
      <c r="C28" s="5" t="inlineStr">
        <is>
          <t>Dovela D2 (sobre estribo)</t>
        </is>
      </c>
      <c r="D28" s="5" t="inlineStr">
        <is>
          <t>Margen Izquierda</t>
        </is>
      </c>
      <c r="E28" s="10" t="n">
        <v>3</v>
      </c>
      <c r="F28" s="11" t="n">
        <v>140.49</v>
      </c>
      <c r="G28" s="10" t="n">
        <v>14</v>
      </c>
      <c r="H28" s="10" t="n">
        <v>0</v>
      </c>
      <c r="I28" s="11" t="n">
        <v>1250</v>
      </c>
      <c r="J28" s="11" t="n">
        <v>5.8</v>
      </c>
      <c r="K28" s="11" t="n">
        <v>0</v>
      </c>
      <c r="L28" s="10" t="n">
        <v>0</v>
      </c>
      <c r="M28" s="12">
        <f>F28*I28+G28*J28+H28*K28+L28</f>
        <v/>
      </c>
      <c r="N28" s="23" t="n">
        <v>46231</v>
      </c>
      <c r="O28" s="23" t="n">
        <v>46249</v>
      </c>
      <c r="P28" s="13">
        <f>O28-N28+1</f>
        <v/>
      </c>
      <c r="Q28" s="5" t="inlineStr">
        <is>
          <t>TAB-MI-D1</t>
        </is>
      </c>
      <c r="R28" s="14">
        <f>MAX(0,MIN(1,(Parametros!$B$10-N28+1)/P28))</f>
        <v/>
      </c>
      <c r="S28" s="14">
        <f>IFERROR(INDEX(Avance_Mensual!$C28:$L28,1,MATCH(Parametros!$B$10,Avance_Mensual!$C$4:$L$4,0)),0)</f>
        <v/>
      </c>
      <c r="T28" s="12">
        <f>M28*R28</f>
        <v/>
      </c>
      <c r="U28" s="12">
        <f>M28*S28</f>
        <v/>
      </c>
      <c r="V28" s="15">
        <f>IF(T28=0,"",U28/T28)</f>
        <v/>
      </c>
      <c r="W28" s="13">
        <f>IF(S28&gt;=1,"Terminado",IF(R28-S28&gt;Parametros!$B$11,"Atrasado",IF(S28&gt;0,"En proceso","Pendiente")))</f>
        <v/>
      </c>
    </row>
    <row r="29">
      <c r="A29" s="5" t="inlineStr">
        <is>
          <t>TAB-MI-D3</t>
        </is>
      </c>
      <c r="B29" s="5" t="inlineStr">
        <is>
          <t>2.2.3</t>
        </is>
      </c>
      <c r="C29" s="5" t="inlineStr">
        <is>
          <t>Dovela D3 (sobre estribo)</t>
        </is>
      </c>
      <c r="D29" s="5" t="inlineStr">
        <is>
          <t>Margen Izquierda</t>
        </is>
      </c>
      <c r="E29" s="10" t="n">
        <v>1</v>
      </c>
      <c r="F29" s="11" t="n">
        <v>112.69</v>
      </c>
      <c r="G29" s="10" t="n">
        <v>0</v>
      </c>
      <c r="H29" s="10" t="n">
        <v>0</v>
      </c>
      <c r="I29" s="11" t="n">
        <v>1250</v>
      </c>
      <c r="J29" s="11" t="n">
        <v>5.8</v>
      </c>
      <c r="K29" s="11" t="n">
        <v>0</v>
      </c>
      <c r="L29" s="10" t="n">
        <v>0</v>
      </c>
      <c r="M29" s="12">
        <f>F29*I29+G29*J29+H29*K29+L29</f>
        <v/>
      </c>
      <c r="N29" s="23" t="n">
        <v>46247</v>
      </c>
      <c r="O29" s="23" t="n">
        <v>46266</v>
      </c>
      <c r="P29" s="13">
        <f>O29-N29+1</f>
        <v/>
      </c>
      <c r="Q29" s="5" t="inlineStr">
        <is>
          <t>TAB-MI-D2</t>
        </is>
      </c>
      <c r="R29" s="14">
        <f>MAX(0,MIN(1,(Parametros!$B$10-N29+1)/P29))</f>
        <v/>
      </c>
      <c r="S29" s="14">
        <f>IFERROR(INDEX(Avance_Mensual!$C29:$L29,1,MATCH(Parametros!$B$10,Avance_Mensual!$C$4:$L$4,0)),0)</f>
        <v/>
      </c>
      <c r="T29" s="12">
        <f>M29*R29</f>
        <v/>
      </c>
      <c r="U29" s="12">
        <f>M29*S29</f>
        <v/>
      </c>
      <c r="V29" s="15">
        <f>IF(T29=0,"",U29/T29)</f>
        <v/>
      </c>
      <c r="W29" s="13">
        <f>IF(S29&gt;=1,"Terminado",IF(R29-S29&gt;Parametros!$B$11,"Atrasado",IF(S29&gt;0,"En proceso","Pendiente")))</f>
        <v/>
      </c>
    </row>
    <row r="30">
      <c r="A30" s="5" t="inlineStr">
        <is>
          <t>TAB-MI-D4</t>
        </is>
      </c>
      <c r="B30" s="5" t="inlineStr">
        <is>
          <t>2.2.4</t>
        </is>
      </c>
      <c r="C30" s="5" t="inlineStr">
        <is>
          <t>Dovela D4 (luz central)</t>
        </is>
      </c>
      <c r="D30" s="5" t="inlineStr">
        <is>
          <t>Margen Izquierda</t>
        </is>
      </c>
      <c r="E30" s="10" t="n">
        <v>1</v>
      </c>
      <c r="F30" s="11" t="n">
        <v>243.75</v>
      </c>
      <c r="G30" s="10" t="n">
        <v>0</v>
      </c>
      <c r="H30" s="10" t="n">
        <v>0</v>
      </c>
      <c r="I30" s="11" t="n">
        <v>1250</v>
      </c>
      <c r="J30" s="11" t="n">
        <v>5.8</v>
      </c>
      <c r="K30" s="11" t="n">
        <v>0</v>
      </c>
      <c r="L30" s="10" t="n">
        <v>0</v>
      </c>
      <c r="M30" s="12">
        <f>F30*I30+G30*J30+H30*K30+L30</f>
        <v/>
      </c>
      <c r="N30" s="23" t="n">
        <v>46263</v>
      </c>
      <c r="O30" s="23" t="n">
        <v>46292</v>
      </c>
      <c r="P30" s="13">
        <f>O30-N30+1</f>
        <v/>
      </c>
      <c r="Q30" s="5" t="inlineStr">
        <is>
          <t>TAB-MI-D3</t>
        </is>
      </c>
      <c r="R30" s="14">
        <f>MAX(0,MIN(1,(Parametros!$B$10-N30+1)/P30))</f>
        <v/>
      </c>
      <c r="S30" s="14">
        <f>IFERROR(INDEX(Avance_Mensual!$C30:$L30,1,MATCH(Parametros!$B$10,Avance_Mensual!$C$4:$L$4,0)),0)</f>
        <v/>
      </c>
      <c r="T30" s="12">
        <f>M30*R30</f>
        <v/>
      </c>
      <c r="U30" s="12">
        <f>M30*S30</f>
        <v/>
      </c>
      <c r="V30" s="15">
        <f>IF(T30=0,"",U30/T30)</f>
        <v/>
      </c>
      <c r="W30" s="13">
        <f>IF(S30&gt;=1,"Terminado",IF(R30-S30&gt;Parametros!$B$11,"Atrasado",IF(S30&gt;0,"En proceso","Pendiente")))</f>
        <v/>
      </c>
    </row>
    <row r="31">
      <c r="A31" s="5" t="inlineStr">
        <is>
          <t>TAB-MI-D5</t>
        </is>
      </c>
      <c r="B31" s="5" t="inlineStr">
        <is>
          <t>2.2.5</t>
        </is>
      </c>
      <c r="C31" s="5" t="inlineStr">
        <is>
          <t>Dovela D5 (luz central)</t>
        </is>
      </c>
      <c r="D31" s="5" t="inlineStr">
        <is>
          <t>Margen Izquierda</t>
        </is>
      </c>
      <c r="E31" s="10" t="n">
        <v>7</v>
      </c>
      <c r="F31" s="11" t="n">
        <v>207.45</v>
      </c>
      <c r="G31" s="10" t="n">
        <v>1061</v>
      </c>
      <c r="H31" s="10" t="n">
        <v>0</v>
      </c>
      <c r="I31" s="11" t="n">
        <v>1250</v>
      </c>
      <c r="J31" s="11" t="n">
        <v>5.8</v>
      </c>
      <c r="K31" s="11" t="n">
        <v>0</v>
      </c>
      <c r="L31" s="10" t="n">
        <v>0</v>
      </c>
      <c r="M31" s="12">
        <f>F31*I31+G31*J31+H31*K31+L31</f>
        <v/>
      </c>
      <c r="N31" s="23" t="n">
        <v>46288</v>
      </c>
      <c r="O31" s="23" t="n">
        <v>46326</v>
      </c>
      <c r="P31" s="13">
        <f>O31-N31+1</f>
        <v/>
      </c>
      <c r="Q31" s="5" t="inlineStr">
        <is>
          <t>TAB-MI-D4</t>
        </is>
      </c>
      <c r="R31" s="14">
        <f>MAX(0,MIN(1,(Parametros!$B$10-N31+1)/P31))</f>
        <v/>
      </c>
      <c r="S31" s="14">
        <f>IFERROR(INDEX(Avance_Mensual!$C31:$L31,1,MATCH(Parametros!$B$10,Avance_Mensual!$C$4:$L$4,0)),0)</f>
        <v/>
      </c>
      <c r="T31" s="12">
        <f>M31*R31</f>
        <v/>
      </c>
      <c r="U31" s="12">
        <f>M31*S31</f>
        <v/>
      </c>
      <c r="V31" s="15">
        <f>IF(T31=0,"",U31/T31)</f>
        <v/>
      </c>
      <c r="W31" s="13">
        <f>IF(S31&gt;=1,"Terminado",IF(R31-S31&gt;Parametros!$B$11,"Atrasado",IF(S31&gt;0,"En proceso","Pendiente")))</f>
        <v/>
      </c>
    </row>
    <row r="32">
      <c r="C32" s="3" t="inlineStr">
        <is>
          <t>TOTAL</t>
        </is>
      </c>
      <c r="E32" s="16">
        <f>SUM(E5:E31)</f>
        <v/>
      </c>
      <c r="F32" s="16">
        <f>SUM(F5:F31)</f>
        <v/>
      </c>
      <c r="G32" s="16">
        <f>SUM(G5:G31)</f>
        <v/>
      </c>
      <c r="H32" s="16">
        <f>SUM(H5:H31)</f>
        <v/>
      </c>
      <c r="M32" s="16">
        <f>SUM(M5:M31)</f>
        <v/>
      </c>
      <c r="R32" s="25">
        <f>T32/M32</f>
        <v/>
      </c>
      <c r="S32" s="25">
        <f>U32/M32</f>
        <v/>
      </c>
      <c r="T32" s="16">
        <f>SUM(T5:T31)</f>
        <v/>
      </c>
      <c r="U32" s="16">
        <f>SUM(U5:U31)</f>
        <v/>
      </c>
      <c r="V32" s="18">
        <f>U32/T32</f>
        <v/>
      </c>
    </row>
  </sheetData>
  <autoFilter ref="A4:W31"/>
  <conditionalFormatting sqref="W5:W31">
    <cfRule type="cellIs" priority="1" operator="equal" dxfId="0">
      <formula>"Terminado"</formula>
    </cfRule>
    <cfRule type="cellIs" priority="2" operator="equal" dxfId="1">
      <formula>"Atrasado"</formula>
    </cfRule>
    <cfRule type="cellIs" priority="3" operator="equal" dxfId="2">
      <formula>"En proceso"</formula>
    </cfRule>
    <cfRule type="cellIs" priority="4" operator="equal" dxfId="3">
      <formula>"Pendiente"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% de avance físico REAL acumulado por tarea (cierre de mes)</t>
        </is>
      </c>
    </row>
    <row r="2">
      <c r="A2" s="2" t="inlineStr">
        <is>
          <t>Datos aleatorios de ejemplo (5 meses). Deje en blanco los meses futuros.</t>
        </is>
      </c>
    </row>
    <row r="4" ht="30" customHeight="1">
      <c r="A4" s="9" t="inlineStr">
        <is>
          <t>ID</t>
        </is>
      </c>
      <c r="B4" s="9" t="inlineStr">
        <is>
          <t>Tarea</t>
        </is>
      </c>
      <c r="C4" s="26" t="n">
        <v>46053</v>
      </c>
      <c r="D4" s="26" t="n">
        <v>46081</v>
      </c>
      <c r="E4" s="26" t="n">
        <v>46112</v>
      </c>
      <c r="F4" s="26" t="n">
        <v>46142</v>
      </c>
      <c r="G4" s="26" t="n">
        <v>46173</v>
      </c>
      <c r="H4" s="26" t="n">
        <v>46203</v>
      </c>
      <c r="I4" s="26" t="n">
        <v>46234</v>
      </c>
      <c r="J4" s="26" t="n">
        <v>46265</v>
      </c>
      <c r="K4" s="26" t="n">
        <v>46295</v>
      </c>
      <c r="L4" s="26" t="n">
        <v>46326</v>
      </c>
    </row>
    <row r="5">
      <c r="A5" s="20">
        <f>Cronograma_5D!A5</f>
        <v/>
      </c>
      <c r="B5" s="20">
        <f>Cronograma_5D!C5</f>
        <v/>
      </c>
      <c r="C5" s="7" t="n">
        <v>0.4</v>
      </c>
      <c r="D5" s="7" t="n">
        <v>0.95</v>
      </c>
      <c r="E5" s="7" t="n">
        <v>1</v>
      </c>
      <c r="F5" s="7" t="n">
        <v>1</v>
      </c>
      <c r="G5" s="7" t="n">
        <v>1</v>
      </c>
      <c r="H5" s="7" t="n"/>
      <c r="I5" s="7" t="n"/>
      <c r="J5" s="7" t="n"/>
      <c r="K5" s="7" t="n"/>
      <c r="L5" s="7" t="n"/>
    </row>
    <row r="6">
      <c r="A6" s="20">
        <f>Cronograma_5D!A6</f>
        <v/>
      </c>
      <c r="B6" s="20">
        <f>Cronograma_5D!C6</f>
        <v/>
      </c>
      <c r="C6" s="7" t="n">
        <v>0.6</v>
      </c>
      <c r="D6" s="7" t="n">
        <v>1</v>
      </c>
      <c r="E6" s="7" t="n">
        <v>1</v>
      </c>
      <c r="F6" s="7" t="n">
        <v>1</v>
      </c>
      <c r="G6" s="7" t="n">
        <v>1</v>
      </c>
      <c r="H6" s="7" t="n"/>
      <c r="I6" s="7" t="n"/>
      <c r="J6" s="7" t="n"/>
      <c r="K6" s="7" t="n"/>
      <c r="L6" s="7" t="n"/>
    </row>
    <row r="7">
      <c r="A7" s="20">
        <f>Cronograma_5D!A7</f>
        <v/>
      </c>
      <c r="B7" s="20">
        <f>Cronograma_5D!C7</f>
        <v/>
      </c>
      <c r="C7" s="7" t="n">
        <v>0</v>
      </c>
      <c r="D7" s="7" t="n">
        <v>0</v>
      </c>
      <c r="E7" s="7" t="n">
        <v>1</v>
      </c>
      <c r="F7" s="7" t="n">
        <v>1</v>
      </c>
      <c r="G7" s="7" t="n">
        <v>1</v>
      </c>
      <c r="H7" s="7" t="n"/>
      <c r="I7" s="7" t="n"/>
      <c r="J7" s="7" t="n"/>
      <c r="K7" s="7" t="n"/>
      <c r="L7" s="7" t="n"/>
    </row>
    <row r="8">
      <c r="A8" s="20">
        <f>Cronograma_5D!A8</f>
        <v/>
      </c>
      <c r="B8" s="20">
        <f>Cronograma_5D!C8</f>
        <v/>
      </c>
      <c r="C8" s="7" t="n">
        <v>0</v>
      </c>
      <c r="D8" s="7" t="n">
        <v>0</v>
      </c>
      <c r="E8" s="7" t="n">
        <v>0.25</v>
      </c>
      <c r="F8" s="7" t="n">
        <v>1</v>
      </c>
      <c r="G8" s="7" t="n">
        <v>1</v>
      </c>
      <c r="H8" s="7" t="n"/>
      <c r="I8" s="7" t="n"/>
      <c r="J8" s="7" t="n"/>
      <c r="K8" s="7" t="n"/>
      <c r="L8" s="7" t="n"/>
    </row>
    <row r="9">
      <c r="A9" s="20">
        <f>Cronograma_5D!A9</f>
        <v/>
      </c>
      <c r="B9" s="20">
        <f>Cronograma_5D!C9</f>
        <v/>
      </c>
      <c r="C9" s="7" t="n">
        <v>0</v>
      </c>
      <c r="D9" s="7" t="n">
        <v>0</v>
      </c>
      <c r="E9" s="7" t="n">
        <v>0</v>
      </c>
      <c r="F9" s="7" t="n">
        <v>0.1</v>
      </c>
      <c r="G9" s="7" t="n">
        <v>0.8</v>
      </c>
      <c r="H9" s="7" t="n"/>
      <c r="I9" s="7" t="n"/>
      <c r="J9" s="7" t="n"/>
      <c r="K9" s="7" t="n"/>
      <c r="L9" s="7" t="n"/>
    </row>
    <row r="10">
      <c r="A10" s="20">
        <f>Cronograma_5D!A10</f>
        <v/>
      </c>
      <c r="B10" s="20">
        <f>Cronograma_5D!C10</f>
        <v/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0.4</v>
      </c>
      <c r="H10" s="7" t="n"/>
      <c r="I10" s="7" t="n"/>
      <c r="J10" s="7" t="n"/>
      <c r="K10" s="7" t="n"/>
      <c r="L10" s="7" t="n"/>
    </row>
    <row r="11">
      <c r="A11" s="20">
        <f>Cronograma_5D!A11</f>
        <v/>
      </c>
      <c r="B11" s="20">
        <f>Cronograma_5D!C11</f>
        <v/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/>
      <c r="I11" s="7" t="n"/>
      <c r="J11" s="7" t="n"/>
      <c r="K11" s="7" t="n"/>
      <c r="L11" s="7" t="n"/>
    </row>
    <row r="12">
      <c r="A12" s="20">
        <f>Cronograma_5D!A12</f>
        <v/>
      </c>
      <c r="B12" s="20">
        <f>Cronograma_5D!C12</f>
        <v/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/>
      <c r="I12" s="7" t="n"/>
      <c r="J12" s="7" t="n"/>
      <c r="K12" s="7" t="n"/>
      <c r="L12" s="7" t="n"/>
    </row>
    <row r="13">
      <c r="A13" s="20">
        <f>Cronograma_5D!A13</f>
        <v/>
      </c>
      <c r="B13" s="20">
        <f>Cronograma_5D!C13</f>
        <v/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/>
      <c r="I13" s="7" t="n"/>
      <c r="J13" s="7" t="n"/>
      <c r="K13" s="7" t="n"/>
      <c r="L13" s="7" t="n"/>
    </row>
    <row r="14">
      <c r="A14" s="20">
        <f>Cronograma_5D!A14</f>
        <v/>
      </c>
      <c r="B14" s="20">
        <f>Cronograma_5D!C14</f>
        <v/>
      </c>
      <c r="C14" s="7" t="n">
        <v>0.1</v>
      </c>
      <c r="D14" s="7" t="n">
        <v>0.7</v>
      </c>
      <c r="E14" s="7" t="n">
        <v>1</v>
      </c>
      <c r="F14" s="7" t="n">
        <v>1</v>
      </c>
      <c r="G14" s="7" t="n">
        <v>1</v>
      </c>
      <c r="H14" s="7" t="n"/>
      <c r="I14" s="7" t="n"/>
      <c r="J14" s="7" t="n"/>
      <c r="K14" s="7" t="n"/>
      <c r="L14" s="7" t="n"/>
    </row>
    <row r="15">
      <c r="A15" s="20">
        <f>Cronograma_5D!A15</f>
        <v/>
      </c>
      <c r="B15" s="20">
        <f>Cronograma_5D!C15</f>
        <v/>
      </c>
      <c r="C15" s="7" t="n">
        <v>0.7</v>
      </c>
      <c r="D15" s="7" t="n">
        <v>1</v>
      </c>
      <c r="E15" s="7" t="n">
        <v>1</v>
      </c>
      <c r="F15" s="7" t="n">
        <v>1</v>
      </c>
      <c r="G15" s="7" t="n">
        <v>1</v>
      </c>
      <c r="H15" s="7" t="n"/>
      <c r="I15" s="7" t="n"/>
      <c r="J15" s="7" t="n"/>
      <c r="K15" s="7" t="n"/>
      <c r="L15" s="7" t="n"/>
    </row>
    <row r="16">
      <c r="A16" s="20">
        <f>Cronograma_5D!A16</f>
        <v/>
      </c>
      <c r="B16" s="20">
        <f>Cronograma_5D!C16</f>
        <v/>
      </c>
      <c r="C16" s="7" t="n">
        <v>0</v>
      </c>
      <c r="D16" s="7" t="n">
        <v>0</v>
      </c>
      <c r="E16" s="7" t="n">
        <v>0.8</v>
      </c>
      <c r="F16" s="7" t="n">
        <v>1</v>
      </c>
      <c r="G16" s="7" t="n">
        <v>1</v>
      </c>
      <c r="H16" s="7" t="n"/>
      <c r="I16" s="7" t="n"/>
      <c r="J16" s="7" t="n"/>
      <c r="K16" s="7" t="n"/>
      <c r="L16" s="7" t="n"/>
    </row>
    <row r="17">
      <c r="A17" s="20">
        <f>Cronograma_5D!A17</f>
        <v/>
      </c>
      <c r="B17" s="20">
        <f>Cronograma_5D!C17</f>
        <v/>
      </c>
      <c r="C17" s="7" t="n">
        <v>0</v>
      </c>
      <c r="D17" s="7" t="n">
        <v>0</v>
      </c>
      <c r="E17" s="7" t="n">
        <v>0</v>
      </c>
      <c r="F17" s="7" t="n">
        <v>1</v>
      </c>
      <c r="G17" s="7" t="n">
        <v>1</v>
      </c>
      <c r="H17" s="7" t="n"/>
      <c r="I17" s="7" t="n"/>
      <c r="J17" s="7" t="n"/>
      <c r="K17" s="7" t="n"/>
      <c r="L17" s="7" t="n"/>
    </row>
    <row r="18">
      <c r="A18" s="20">
        <f>Cronograma_5D!A18</f>
        <v/>
      </c>
      <c r="B18" s="20">
        <f>Cronograma_5D!C18</f>
        <v/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0.3</v>
      </c>
      <c r="H18" s="7" t="n"/>
      <c r="I18" s="7" t="n"/>
      <c r="J18" s="7" t="n"/>
      <c r="K18" s="7" t="n"/>
      <c r="L18" s="7" t="n"/>
    </row>
    <row r="19">
      <c r="A19" s="20">
        <f>Cronograma_5D!A19</f>
        <v/>
      </c>
      <c r="B19" s="20">
        <f>Cronograma_5D!C19</f>
        <v/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0.25</v>
      </c>
      <c r="H19" s="7" t="n"/>
      <c r="I19" s="7" t="n"/>
      <c r="J19" s="7" t="n"/>
      <c r="K19" s="7" t="n"/>
      <c r="L19" s="7" t="n"/>
    </row>
    <row r="20">
      <c r="A20" s="20">
        <f>Cronograma_5D!A20</f>
        <v/>
      </c>
      <c r="B20" s="20">
        <f>Cronograma_5D!C20</f>
        <v/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/>
      <c r="I20" s="7" t="n"/>
      <c r="J20" s="7" t="n"/>
      <c r="K20" s="7" t="n"/>
      <c r="L20" s="7" t="n"/>
    </row>
    <row r="21">
      <c r="A21" s="20">
        <f>Cronograma_5D!A21</f>
        <v/>
      </c>
      <c r="B21" s="20">
        <f>Cronograma_5D!C21</f>
        <v/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/>
      <c r="I21" s="7" t="n"/>
      <c r="J21" s="7" t="n"/>
      <c r="K21" s="7" t="n"/>
      <c r="L21" s="7" t="n"/>
    </row>
    <row r="22">
      <c r="A22" s="20">
        <f>Cronograma_5D!A22</f>
        <v/>
      </c>
      <c r="B22" s="20">
        <f>Cronograma_5D!C22</f>
        <v/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/>
      <c r="I22" s="7" t="n"/>
      <c r="J22" s="7" t="n"/>
      <c r="K22" s="7" t="n"/>
      <c r="L22" s="7" t="n"/>
    </row>
    <row r="23">
      <c r="A23" s="20">
        <f>Cronograma_5D!A23</f>
        <v/>
      </c>
      <c r="B23" s="20">
        <f>Cronograma_5D!C23</f>
        <v/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/>
      <c r="I23" s="7" t="n"/>
      <c r="J23" s="7" t="n"/>
      <c r="K23" s="7" t="n"/>
      <c r="L23" s="7" t="n"/>
    </row>
    <row r="24">
      <c r="A24" s="20">
        <f>Cronograma_5D!A24</f>
        <v/>
      </c>
      <c r="B24" s="20">
        <f>Cronograma_5D!C24</f>
        <v/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/>
      <c r="I24" s="7" t="n"/>
      <c r="J24" s="7" t="n"/>
      <c r="K24" s="7" t="n"/>
      <c r="L24" s="7" t="n"/>
    </row>
    <row r="25">
      <c r="A25" s="20">
        <f>Cronograma_5D!A25</f>
        <v/>
      </c>
      <c r="B25" s="20">
        <f>Cronograma_5D!C25</f>
        <v/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/>
      <c r="I25" s="7" t="n"/>
      <c r="J25" s="7" t="n"/>
      <c r="K25" s="7" t="n"/>
      <c r="L25" s="7" t="n"/>
    </row>
    <row r="26">
      <c r="A26" s="20">
        <f>Cronograma_5D!A26</f>
        <v/>
      </c>
      <c r="B26" s="20">
        <f>Cronograma_5D!C26</f>
        <v/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/>
      <c r="I26" s="7" t="n"/>
      <c r="J26" s="7" t="n"/>
      <c r="K26" s="7" t="n"/>
      <c r="L26" s="7" t="n"/>
    </row>
    <row r="27">
      <c r="A27" s="20">
        <f>Cronograma_5D!A27</f>
        <v/>
      </c>
      <c r="B27" s="20">
        <f>Cronograma_5D!C27</f>
        <v/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/>
      <c r="I27" s="7" t="n"/>
      <c r="J27" s="7" t="n"/>
      <c r="K27" s="7" t="n"/>
      <c r="L27" s="7" t="n"/>
    </row>
    <row r="28">
      <c r="A28" s="20">
        <f>Cronograma_5D!A28</f>
        <v/>
      </c>
      <c r="B28" s="20">
        <f>Cronograma_5D!C28</f>
        <v/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/>
      <c r="I28" s="7" t="n"/>
      <c r="J28" s="7" t="n"/>
      <c r="K28" s="7" t="n"/>
      <c r="L28" s="7" t="n"/>
    </row>
    <row r="29">
      <c r="A29" s="20">
        <f>Cronograma_5D!A29</f>
        <v/>
      </c>
      <c r="B29" s="20">
        <f>Cronograma_5D!C29</f>
        <v/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/>
      <c r="I29" s="7" t="n"/>
      <c r="J29" s="7" t="n"/>
      <c r="K29" s="7" t="n"/>
      <c r="L29" s="7" t="n"/>
    </row>
    <row r="30">
      <c r="A30" s="20">
        <f>Cronograma_5D!A30</f>
        <v/>
      </c>
      <c r="B30" s="20">
        <f>Cronograma_5D!C30</f>
        <v/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/>
      <c r="I30" s="7" t="n"/>
      <c r="J30" s="7" t="n"/>
      <c r="K30" s="7" t="n"/>
      <c r="L30" s="7" t="n"/>
    </row>
    <row r="31">
      <c r="A31" s="20">
        <f>Cronograma_5D!A31</f>
        <v/>
      </c>
      <c r="B31" s="20">
        <f>Cronograma_5D!C31</f>
        <v/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/>
      <c r="I31" s="7" t="n"/>
      <c r="J31" s="7" t="n"/>
      <c r="K31" s="7" t="n"/>
      <c r="L31" s="7" t="n"/>
    </row>
  </sheetData>
  <dataValidations count="1">
    <dataValidation sqref="C5:L31" showDropDown="0" showInputMessage="0" showErrorMessage="1" allowBlank="1" error="Ingrese un valor entre 0% y 100%" type="decimal" operator="between">
      <formula1>0</formula1>
      <formula2>1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20" customWidth="1" min="4" max="4"/>
    <col width="13" customWidth="1" min="5" max="5"/>
    <col width="13" customWidth="1" min="6" max="6"/>
    <col width="22" customWidth="1" min="7" max="7"/>
    <col width="22" customWidth="1" min="8" max="8"/>
    <col width="9" customWidth="1" min="9" max="9"/>
  </cols>
  <sheetData>
    <row r="1">
      <c r="A1" s="1" t="inlineStr">
        <is>
          <t>Curva S – valor programado (5D) vs valor ejecutado</t>
        </is>
      </c>
    </row>
    <row r="2">
      <c r="A2" s="2" t="inlineStr">
        <is>
          <t>S/ acumulados al cierre de cada mes</t>
        </is>
      </c>
    </row>
    <row r="4" ht="40" customHeight="1">
      <c r="A4" s="9" t="inlineStr">
        <is>
          <t>Mes</t>
        </is>
      </c>
      <c r="B4" s="9" t="inlineStr">
        <is>
          <t>Fecha corte</t>
        </is>
      </c>
      <c r="C4" s="9" t="inlineStr">
        <is>
          <t>Programado acum. (S/)</t>
        </is>
      </c>
      <c r="D4" s="9" t="inlineStr">
        <is>
          <t>Ejecutado acum. (S/)</t>
        </is>
      </c>
      <c r="E4" s="9" t="inlineStr">
        <is>
          <t>% Prog. acum.</t>
        </is>
      </c>
      <c r="F4" s="9" t="inlineStr">
        <is>
          <t>% Real acum.</t>
        </is>
      </c>
      <c r="G4" s="9" t="inlineStr">
        <is>
          <t>Programado mensual (S/)</t>
        </is>
      </c>
      <c r="H4" s="9" t="inlineStr">
        <is>
          <t>Ejecutado mensual (S/)</t>
        </is>
      </c>
      <c r="I4" s="9" t="inlineStr">
        <is>
          <t>SPI</t>
        </is>
      </c>
    </row>
    <row r="5">
      <c r="A5" s="13" t="inlineStr">
        <is>
          <t>Ene-26</t>
        </is>
      </c>
      <c r="B5" s="27">
        <f>Avance_Mensual!C4</f>
        <v/>
      </c>
      <c r="C5" s="12">
        <f>SUMPRODUCT(Cronograma_5D!$M$5:$M$31*((($B5&gt;=Cronograma_5D!$N$5:$N$31)*($B5&lt;=Cronograma_5D!$O$5:$O$31)*($B5-Cronograma_5D!$N$5:$N$31+1)/Cronograma_5D!$P$5:$P$31)+($B5&gt;Cronograma_5D!$O$5:$O$31)))</f>
        <v/>
      </c>
      <c r="D5" s="12">
        <f>IF(COUNT(Avance_Mensual!C$5:C$31)=0,NA(),SUMPRODUCT(Cronograma_5D!$M$5:$M$31,Avance_Mensual!C$5:C$31))</f>
        <v/>
      </c>
      <c r="E5" s="28">
        <f>C5/Cronograma_5D!$M$32</f>
        <v/>
      </c>
      <c r="F5" s="28">
        <f>IFERROR(D5/Cronograma_5D!$M$32,NA())</f>
        <v/>
      </c>
      <c r="G5" s="12">
        <f>C5</f>
        <v/>
      </c>
      <c r="H5" s="12">
        <f>IFERROR(D5,NA())</f>
        <v/>
      </c>
      <c r="I5" s="15">
        <f>IFERROR(D5/C5,NA())</f>
        <v/>
      </c>
    </row>
    <row r="6">
      <c r="A6" s="13" t="inlineStr">
        <is>
          <t>Feb-26</t>
        </is>
      </c>
      <c r="B6" s="27">
        <f>Avance_Mensual!D4</f>
        <v/>
      </c>
      <c r="C6" s="12">
        <f>SUMPRODUCT(Cronograma_5D!$M$5:$M$31*((($B6&gt;=Cronograma_5D!$N$5:$N$31)*($B6&lt;=Cronograma_5D!$O$5:$O$31)*($B6-Cronograma_5D!$N$5:$N$31+1)/Cronograma_5D!$P$5:$P$31)+($B6&gt;Cronograma_5D!$O$5:$O$31)))</f>
        <v/>
      </c>
      <c r="D6" s="12">
        <f>IF(COUNT(Avance_Mensual!D$5:D$31)=0,NA(),SUMPRODUCT(Cronograma_5D!$M$5:$M$31,Avance_Mensual!D$5:D$31))</f>
        <v/>
      </c>
      <c r="E6" s="28">
        <f>C6/Cronograma_5D!$M$32</f>
        <v/>
      </c>
      <c r="F6" s="28">
        <f>IFERROR(D6/Cronograma_5D!$M$32,NA())</f>
        <v/>
      </c>
      <c r="G6" s="12">
        <f>C6-C5</f>
        <v/>
      </c>
      <c r="H6" s="12">
        <f>IFERROR(D6-D5,NA())</f>
        <v/>
      </c>
      <c r="I6" s="15">
        <f>IFERROR(D6/C6,NA())</f>
        <v/>
      </c>
    </row>
    <row r="7">
      <c r="A7" s="13" t="inlineStr">
        <is>
          <t>Mar-26</t>
        </is>
      </c>
      <c r="B7" s="27">
        <f>Avance_Mensual!E4</f>
        <v/>
      </c>
      <c r="C7" s="12">
        <f>SUMPRODUCT(Cronograma_5D!$M$5:$M$31*((($B7&gt;=Cronograma_5D!$N$5:$N$31)*($B7&lt;=Cronograma_5D!$O$5:$O$31)*($B7-Cronograma_5D!$N$5:$N$31+1)/Cronograma_5D!$P$5:$P$31)+($B7&gt;Cronograma_5D!$O$5:$O$31)))</f>
        <v/>
      </c>
      <c r="D7" s="12">
        <f>IF(COUNT(Avance_Mensual!E$5:E$31)=0,NA(),SUMPRODUCT(Cronograma_5D!$M$5:$M$31,Avance_Mensual!E$5:E$31))</f>
        <v/>
      </c>
      <c r="E7" s="28">
        <f>C7/Cronograma_5D!$M$32</f>
        <v/>
      </c>
      <c r="F7" s="28">
        <f>IFERROR(D7/Cronograma_5D!$M$32,NA())</f>
        <v/>
      </c>
      <c r="G7" s="12">
        <f>C7-C6</f>
        <v/>
      </c>
      <c r="H7" s="12">
        <f>IFERROR(D7-D6,NA())</f>
        <v/>
      </c>
      <c r="I7" s="15">
        <f>IFERROR(D7/C7,NA())</f>
        <v/>
      </c>
    </row>
    <row r="8">
      <c r="A8" s="13" t="inlineStr">
        <is>
          <t>Abr-26</t>
        </is>
      </c>
      <c r="B8" s="27">
        <f>Avance_Mensual!F4</f>
        <v/>
      </c>
      <c r="C8" s="12">
        <f>SUMPRODUCT(Cronograma_5D!$M$5:$M$31*((($B8&gt;=Cronograma_5D!$N$5:$N$31)*($B8&lt;=Cronograma_5D!$O$5:$O$31)*($B8-Cronograma_5D!$N$5:$N$31+1)/Cronograma_5D!$P$5:$P$31)+($B8&gt;Cronograma_5D!$O$5:$O$31)))</f>
        <v/>
      </c>
      <c r="D8" s="12">
        <f>IF(COUNT(Avance_Mensual!F$5:F$31)=0,NA(),SUMPRODUCT(Cronograma_5D!$M$5:$M$31,Avance_Mensual!F$5:F$31))</f>
        <v/>
      </c>
      <c r="E8" s="28">
        <f>C8/Cronograma_5D!$M$32</f>
        <v/>
      </c>
      <c r="F8" s="28">
        <f>IFERROR(D8/Cronograma_5D!$M$32,NA())</f>
        <v/>
      </c>
      <c r="G8" s="12">
        <f>C8-C7</f>
        <v/>
      </c>
      <c r="H8" s="12">
        <f>IFERROR(D8-D7,NA())</f>
        <v/>
      </c>
      <c r="I8" s="15">
        <f>IFERROR(D8/C8,NA())</f>
        <v/>
      </c>
    </row>
    <row r="9">
      <c r="A9" s="13" t="inlineStr">
        <is>
          <t>May-26</t>
        </is>
      </c>
      <c r="B9" s="27">
        <f>Avance_Mensual!G4</f>
        <v/>
      </c>
      <c r="C9" s="12">
        <f>SUMPRODUCT(Cronograma_5D!$M$5:$M$31*((($B9&gt;=Cronograma_5D!$N$5:$N$31)*($B9&lt;=Cronograma_5D!$O$5:$O$31)*($B9-Cronograma_5D!$N$5:$N$31+1)/Cronograma_5D!$P$5:$P$31)+($B9&gt;Cronograma_5D!$O$5:$O$31)))</f>
        <v/>
      </c>
      <c r="D9" s="12">
        <f>IF(COUNT(Avance_Mensual!G$5:G$31)=0,NA(),SUMPRODUCT(Cronograma_5D!$M$5:$M$31,Avance_Mensual!G$5:G$31))</f>
        <v/>
      </c>
      <c r="E9" s="28">
        <f>C9/Cronograma_5D!$M$32</f>
        <v/>
      </c>
      <c r="F9" s="28">
        <f>IFERROR(D9/Cronograma_5D!$M$32,NA())</f>
        <v/>
      </c>
      <c r="G9" s="12">
        <f>C9-C8</f>
        <v/>
      </c>
      <c r="H9" s="12">
        <f>IFERROR(D9-D8,NA())</f>
        <v/>
      </c>
      <c r="I9" s="15">
        <f>IFERROR(D9/C9,NA())</f>
        <v/>
      </c>
    </row>
    <row r="10">
      <c r="A10" s="13" t="inlineStr">
        <is>
          <t>Jun-26</t>
        </is>
      </c>
      <c r="B10" s="27">
        <f>Avance_Mensual!H4</f>
        <v/>
      </c>
      <c r="C10" s="12">
        <f>SUMPRODUCT(Cronograma_5D!$M$5:$M$31*((($B10&gt;=Cronograma_5D!$N$5:$N$31)*($B10&lt;=Cronograma_5D!$O$5:$O$31)*($B10-Cronograma_5D!$N$5:$N$31+1)/Cronograma_5D!$P$5:$P$31)+($B10&gt;Cronograma_5D!$O$5:$O$31)))</f>
        <v/>
      </c>
      <c r="D10" s="12">
        <f>IF(COUNT(Avance_Mensual!H$5:H$31)=0,NA(),SUMPRODUCT(Cronograma_5D!$M$5:$M$31,Avance_Mensual!H$5:H$31))</f>
        <v/>
      </c>
      <c r="E10" s="28">
        <f>C10/Cronograma_5D!$M$32</f>
        <v/>
      </c>
      <c r="F10" s="28">
        <f>IFERROR(D10/Cronograma_5D!$M$32,NA())</f>
        <v/>
      </c>
      <c r="G10" s="12">
        <f>C10-C9</f>
        <v/>
      </c>
      <c r="H10" s="12">
        <f>IFERROR(D10-D9,NA())</f>
        <v/>
      </c>
      <c r="I10" s="15">
        <f>IFERROR(D10/C10,NA())</f>
        <v/>
      </c>
    </row>
    <row r="11">
      <c r="A11" s="13" t="inlineStr">
        <is>
          <t>Jul-26</t>
        </is>
      </c>
      <c r="B11" s="27">
        <f>Avance_Mensual!I4</f>
        <v/>
      </c>
      <c r="C11" s="12">
        <f>SUMPRODUCT(Cronograma_5D!$M$5:$M$31*((($B11&gt;=Cronograma_5D!$N$5:$N$31)*($B11&lt;=Cronograma_5D!$O$5:$O$31)*($B11-Cronograma_5D!$N$5:$N$31+1)/Cronograma_5D!$P$5:$P$31)+($B11&gt;Cronograma_5D!$O$5:$O$31)))</f>
        <v/>
      </c>
      <c r="D11" s="12">
        <f>IF(COUNT(Avance_Mensual!I$5:I$31)=0,NA(),SUMPRODUCT(Cronograma_5D!$M$5:$M$31,Avance_Mensual!I$5:I$31))</f>
        <v/>
      </c>
      <c r="E11" s="28">
        <f>C11/Cronograma_5D!$M$32</f>
        <v/>
      </c>
      <c r="F11" s="28">
        <f>IFERROR(D11/Cronograma_5D!$M$32,NA())</f>
        <v/>
      </c>
      <c r="G11" s="12">
        <f>C11-C10</f>
        <v/>
      </c>
      <c r="H11" s="12">
        <f>IFERROR(D11-D10,NA())</f>
        <v/>
      </c>
      <c r="I11" s="15">
        <f>IFERROR(D11/C11,NA())</f>
        <v/>
      </c>
    </row>
    <row r="12">
      <c r="A12" s="13" t="inlineStr">
        <is>
          <t>Ago-26</t>
        </is>
      </c>
      <c r="B12" s="27">
        <f>Avance_Mensual!J4</f>
        <v/>
      </c>
      <c r="C12" s="12">
        <f>SUMPRODUCT(Cronograma_5D!$M$5:$M$31*((($B12&gt;=Cronograma_5D!$N$5:$N$31)*($B12&lt;=Cronograma_5D!$O$5:$O$31)*($B12-Cronograma_5D!$N$5:$N$31+1)/Cronograma_5D!$P$5:$P$31)+($B12&gt;Cronograma_5D!$O$5:$O$31)))</f>
        <v/>
      </c>
      <c r="D12" s="12">
        <f>IF(COUNT(Avance_Mensual!J$5:J$31)=0,NA(),SUMPRODUCT(Cronograma_5D!$M$5:$M$31,Avance_Mensual!J$5:J$31))</f>
        <v/>
      </c>
      <c r="E12" s="28">
        <f>C12/Cronograma_5D!$M$32</f>
        <v/>
      </c>
      <c r="F12" s="28">
        <f>IFERROR(D12/Cronograma_5D!$M$32,NA())</f>
        <v/>
      </c>
      <c r="G12" s="12">
        <f>C12-C11</f>
        <v/>
      </c>
      <c r="H12" s="12">
        <f>IFERROR(D12-D11,NA())</f>
        <v/>
      </c>
      <c r="I12" s="15">
        <f>IFERROR(D12/C12,NA())</f>
        <v/>
      </c>
    </row>
    <row r="13">
      <c r="A13" s="13" t="inlineStr">
        <is>
          <t>Sep-26</t>
        </is>
      </c>
      <c r="B13" s="27">
        <f>Avance_Mensual!K4</f>
        <v/>
      </c>
      <c r="C13" s="12">
        <f>SUMPRODUCT(Cronograma_5D!$M$5:$M$31*((($B13&gt;=Cronograma_5D!$N$5:$N$31)*($B13&lt;=Cronograma_5D!$O$5:$O$31)*($B13-Cronograma_5D!$N$5:$N$31+1)/Cronograma_5D!$P$5:$P$31)+($B13&gt;Cronograma_5D!$O$5:$O$31)))</f>
        <v/>
      </c>
      <c r="D13" s="12">
        <f>IF(COUNT(Avance_Mensual!K$5:K$31)=0,NA(),SUMPRODUCT(Cronograma_5D!$M$5:$M$31,Avance_Mensual!K$5:K$31))</f>
        <v/>
      </c>
      <c r="E13" s="28">
        <f>C13/Cronograma_5D!$M$32</f>
        <v/>
      </c>
      <c r="F13" s="28">
        <f>IFERROR(D13/Cronograma_5D!$M$32,NA())</f>
        <v/>
      </c>
      <c r="G13" s="12">
        <f>C13-C12</f>
        <v/>
      </c>
      <c r="H13" s="12">
        <f>IFERROR(D13-D12,NA())</f>
        <v/>
      </c>
      <c r="I13" s="15">
        <f>IFERROR(D13/C13,NA())</f>
        <v/>
      </c>
    </row>
    <row r="14">
      <c r="A14" s="13" t="inlineStr">
        <is>
          <t>Oct-26</t>
        </is>
      </c>
      <c r="B14" s="27">
        <f>Avance_Mensual!L4</f>
        <v/>
      </c>
      <c r="C14" s="12">
        <f>SUMPRODUCT(Cronograma_5D!$M$5:$M$31*((($B14&gt;=Cronograma_5D!$N$5:$N$31)*($B14&lt;=Cronograma_5D!$O$5:$O$31)*($B14-Cronograma_5D!$N$5:$N$31+1)/Cronograma_5D!$P$5:$P$31)+($B14&gt;Cronograma_5D!$O$5:$O$31)))</f>
        <v/>
      </c>
      <c r="D14" s="12">
        <f>IF(COUNT(Avance_Mensual!L$5:L$31)=0,NA(),SUMPRODUCT(Cronograma_5D!$M$5:$M$31,Avance_Mensual!L$5:L$31))</f>
        <v/>
      </c>
      <c r="E14" s="28">
        <f>C14/Cronograma_5D!$M$32</f>
        <v/>
      </c>
      <c r="F14" s="28">
        <f>IFERROR(D14/Cronograma_5D!$M$32,NA())</f>
        <v/>
      </c>
      <c r="G14" s="12">
        <f>C14-C13</f>
        <v/>
      </c>
      <c r="H14" s="12">
        <f>IFERROR(D14-D13,NA())</f>
        <v/>
      </c>
      <c r="I14" s="15">
        <f>IFERROR(D14/C14,NA())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0" customWidth="1" min="3" max="3"/>
    <col width="60" customWidth="1" min="4" max="4"/>
    <col width="10" customWidth="1" min="5" max="5"/>
    <col width="22" customWidth="1" min="6" max="6"/>
    <col width="17" customWidth="1" min="7" max="7"/>
    <col width="15" customWidth="1" min="8" max="8"/>
    <col width="12" customWidth="1" min="9" max="9"/>
    <col width="12" customWidth="1" min="10" max="10"/>
    <col width="16" customWidth="1" min="11" max="11"/>
  </cols>
  <sheetData>
    <row r="1">
      <c r="A1" s="1" t="inlineStr">
        <is>
          <t>Elementos del modelo BIM (sin armadura ni acopladores)</t>
        </is>
      </c>
    </row>
    <row r="2">
      <c r="A2" s="2" t="inlineStr">
        <is>
          <t>localId = identificador dentro de charanal.frag · Tarea = ID de Cronograma_5D</t>
        </is>
      </c>
    </row>
    <row r="4" ht="32" customHeight="1">
      <c r="A4" s="9" t="inlineStr">
        <is>
          <t>localId</t>
        </is>
      </c>
      <c r="B4" s="9" t="inlineStr">
        <is>
          <t>GUID</t>
        </is>
      </c>
      <c r="C4" s="9" t="inlineStr">
        <is>
          <t>Categoría IFC</t>
        </is>
      </c>
      <c r="D4" s="9" t="inlineStr">
        <is>
          <t>Nombre</t>
        </is>
      </c>
      <c r="E4" s="9" t="inlineStr">
        <is>
          <t>Código</t>
        </is>
      </c>
      <c r="F4" s="9" t="inlineStr">
        <is>
          <t>Partida</t>
        </is>
      </c>
      <c r="G4" s="9" t="inlineStr">
        <is>
          <t>Ubicación</t>
        </is>
      </c>
      <c r="H4" s="9" t="inlineStr">
        <is>
          <t>Elemento</t>
        </is>
      </c>
      <c r="I4" s="9" t="inlineStr">
        <is>
          <t>Tarea ID</t>
        </is>
      </c>
      <c r="J4" s="9" t="inlineStr">
        <is>
          <t>Volumen (m³)</t>
        </is>
      </c>
      <c r="K4" s="9" t="inlineStr">
        <is>
          <t>Estado AO (modelo)</t>
        </is>
      </c>
    </row>
    <row r="5">
      <c r="A5" s="20" t="n">
        <v>966</v>
      </c>
      <c r="B5" s="20" t="inlineStr">
        <is>
          <t>3qZUcMynj20Rs4CLv$8u3O</t>
        </is>
      </c>
      <c r="C5" s="20" t="inlineStr">
        <is>
          <t>SLAB</t>
        </is>
      </c>
      <c r="D5" s="20" t="inlineStr">
        <is>
          <t>Losa de cimentación:Drenaje_Bloque_500x500_fc100:419055</t>
        </is>
      </c>
      <c r="E5" s="20" t="inlineStr">
        <is>
          <t>ED-B1</t>
        </is>
      </c>
      <c r="F5" s="20" t="inlineStr">
        <is>
          <t>Estribos</t>
        </is>
      </c>
      <c r="G5" s="20" t="inlineStr">
        <is>
          <t>Margen Derecha</t>
        </is>
      </c>
      <c r="H5" s="20" t="inlineStr">
        <is>
          <t>Bloque</t>
        </is>
      </c>
      <c r="I5" s="20" t="inlineStr">
        <is>
          <t>BLQ-MD</t>
        </is>
      </c>
      <c r="J5" s="20" t="n">
        <v>11.9</v>
      </c>
      <c r="K5" s="20" t="inlineStr">
        <is>
          <t>No iniciado</t>
        </is>
      </c>
    </row>
    <row r="6">
      <c r="A6" s="20" t="n">
        <v>1804400</v>
      </c>
      <c r="B6" s="20" t="inlineStr">
        <is>
          <t>014613D2j3Qx1EYpOdi2Zs</t>
        </is>
      </c>
      <c r="C6" s="20" t="inlineStr">
        <is>
          <t>BEAM</t>
        </is>
      </c>
      <c r="D6" s="20" t="inlineStr">
        <is>
          <t>Cimentacion_Mensula:Estribos_Mensula_ConcretoC(f'c=280kg/cm2):800014</t>
        </is>
      </c>
      <c r="E6" s="20" t="inlineStr">
        <is>
          <t>ED-M1</t>
        </is>
      </c>
      <c r="F6" s="20" t="inlineStr">
        <is>
          <t>Estribos</t>
        </is>
      </c>
      <c r="G6" s="20" t="inlineStr">
        <is>
          <t>Margen Derecha</t>
        </is>
      </c>
      <c r="H6" s="20" t="inlineStr">
        <is>
          <t>Mensula</t>
        </is>
      </c>
      <c r="I6" s="20" t="inlineStr">
        <is>
          <t>BLQ-MD</t>
        </is>
      </c>
      <c r="J6" s="20" t="n">
        <v>1.05</v>
      </c>
      <c r="K6" s="20" t="inlineStr">
        <is>
          <t>No iniciado</t>
        </is>
      </c>
    </row>
    <row r="7">
      <c r="A7" s="20" t="n">
        <v>2078750</v>
      </c>
      <c r="B7" s="20" t="inlineStr">
        <is>
          <t>31IX94I6r2efzgAGrOkFTj</t>
        </is>
      </c>
      <c r="C7" s="20" t="inlineStr">
        <is>
          <t>SLAB</t>
        </is>
      </c>
      <c r="D7" s="20" t="inlineStr">
        <is>
          <t>Losa de cimentación:Drenaje_Bloque_500x500_fc100:1525818</t>
        </is>
      </c>
      <c r="E7" s="20" t="inlineStr">
        <is>
          <t>ED-B1</t>
        </is>
      </c>
      <c r="F7" s="20" t="inlineStr">
        <is>
          <t>Estribos</t>
        </is>
      </c>
      <c r="G7" s="20" t="inlineStr">
        <is>
          <t>Margen Izquierda</t>
        </is>
      </c>
      <c r="H7" s="20" t="inlineStr">
        <is>
          <t>Bloque</t>
        </is>
      </c>
      <c r="I7" s="20" t="inlineStr">
        <is>
          <t>BLQ-MI</t>
        </is>
      </c>
      <c r="J7" s="20" t="n">
        <v>11.9</v>
      </c>
      <c r="K7" s="20" t="inlineStr"/>
    </row>
    <row r="8">
      <c r="A8" s="20" t="n">
        <v>2224454</v>
      </c>
      <c r="B8" s="20" t="inlineStr">
        <is>
          <t>31IX94I6r2efzgAGrOkF2S</t>
        </is>
      </c>
      <c r="C8" s="20" t="inlineStr">
        <is>
          <t>BEAM</t>
        </is>
      </c>
      <c r="D8" s="20" t="inlineStr">
        <is>
          <t>Cimentacion_Mensula:Estribos_Mensula_ConcretoC(f'c=280kg/cm2):1527755</t>
        </is>
      </c>
      <c r="E8" s="20" t="inlineStr">
        <is>
          <t>ED-M1</t>
        </is>
      </c>
      <c r="F8" s="20" t="inlineStr">
        <is>
          <t>Estribos</t>
        </is>
      </c>
      <c r="G8" s="20" t="inlineStr">
        <is>
          <t>Margen Izquierda</t>
        </is>
      </c>
      <c r="H8" s="20" t="inlineStr">
        <is>
          <t>Mensula</t>
        </is>
      </c>
      <c r="I8" s="20" t="inlineStr">
        <is>
          <t>BLQ-MI</t>
        </is>
      </c>
      <c r="J8" s="20" t="n">
        <v>1.05</v>
      </c>
      <c r="K8" s="20" t="inlineStr">
        <is>
          <t>No iniciado</t>
        </is>
      </c>
    </row>
    <row r="9">
      <c r="A9" s="20" t="n">
        <v>95</v>
      </c>
      <c r="B9" s="20" t="inlineStr">
        <is>
          <t>1eNJRIYerEFfvMqFI4H3Ru</t>
        </is>
      </c>
      <c r="C9" s="20" t="inlineStr">
        <is>
          <t>SLAB</t>
        </is>
      </c>
      <c r="D9" s="20" t="inlineStr">
        <is>
          <t>Losa de cimentación:Estribos_Cabezal_e2000_fc280:398264</t>
        </is>
      </c>
      <c r="E9" s="20" t="inlineStr">
        <is>
          <t>ED-CA1</t>
        </is>
      </c>
      <c r="F9" s="20" t="inlineStr">
        <is>
          <t>Estribos</t>
        </is>
      </c>
      <c r="G9" s="20" t="inlineStr">
        <is>
          <t>Margen Derecha</t>
        </is>
      </c>
      <c r="H9" s="20" t="inlineStr">
        <is>
          <t>Cabezal</t>
        </is>
      </c>
      <c r="I9" s="20" t="inlineStr">
        <is>
          <t>CAB-MD</t>
        </is>
      </c>
      <c r="J9" s="20" t="n">
        <v>714</v>
      </c>
      <c r="K9" s="20" t="inlineStr">
        <is>
          <t>Ejecutado</t>
        </is>
      </c>
    </row>
    <row r="10">
      <c r="A10" s="20" t="n">
        <v>1550156</v>
      </c>
      <c r="B10" s="20" t="inlineStr">
        <is>
          <t>3Qoa7x4w5C5RyJcivX0FnP</t>
        </is>
      </c>
      <c r="C10" s="20" t="inlineStr">
        <is>
          <t>SLAB</t>
        </is>
      </c>
      <c r="D10" s="20" t="inlineStr">
        <is>
          <t>Losa de cimentación:Estribos_Cabezal_e2000_fc280:716317</t>
        </is>
      </c>
      <c r="E10" s="20" t="inlineStr">
        <is>
          <t>EI-CA1</t>
        </is>
      </c>
      <c r="F10" s="20" t="inlineStr">
        <is>
          <t>Estribos</t>
        </is>
      </c>
      <c r="G10" s="20" t="inlineStr">
        <is>
          <t>Margen Izquierda</t>
        </is>
      </c>
      <c r="H10" s="20" t="inlineStr">
        <is>
          <t>Cabezal</t>
        </is>
      </c>
      <c r="I10" s="20" t="inlineStr">
        <is>
          <t>CAB-MI</t>
        </is>
      </c>
      <c r="J10" s="20" t="n">
        <v>714</v>
      </c>
      <c r="K10" s="20" t="inlineStr">
        <is>
          <t>Ejecutado</t>
        </is>
      </c>
    </row>
    <row r="11">
      <c r="A11" s="20" t="n">
        <v>798</v>
      </c>
      <c r="B11" s="20" t="inlineStr">
        <is>
          <t>2t1$kOTDX16wjqwHtKTv40</t>
        </is>
      </c>
      <c r="C11" s="20" t="inlineStr">
        <is>
          <t>SLAB</t>
        </is>
      </c>
      <c r="D11" s="20" t="inlineStr">
        <is>
          <t>Estribos_Columna:Estribo_Columna_L6294_A1200_fc420:414372</t>
        </is>
      </c>
      <c r="E11" s="20" t="inlineStr">
        <is>
          <t>ED-CO1</t>
        </is>
      </c>
      <c r="F11" s="20" t="inlineStr">
        <is>
          <t>Estribos</t>
        </is>
      </c>
      <c r="G11" s="20" t="inlineStr">
        <is>
          <t>Margen Derecha</t>
        </is>
      </c>
      <c r="H11" s="20" t="inlineStr">
        <is>
          <t>Columna</t>
        </is>
      </c>
      <c r="I11" s="20" t="inlineStr">
        <is>
          <t>COL-MD</t>
        </is>
      </c>
      <c r="J11" s="20" t="n">
        <v>55.135</v>
      </c>
      <c r="K11" s="20" t="inlineStr">
        <is>
          <t>No iniciado</t>
        </is>
      </c>
    </row>
    <row r="12">
      <c r="A12" s="20" t="n">
        <v>860</v>
      </c>
      <c r="B12" s="20" t="inlineStr">
        <is>
          <t>2hCL6D33vDBwna1xopuPSX</t>
        </is>
      </c>
      <c r="C12" s="20" t="inlineStr">
        <is>
          <t>SLAB</t>
        </is>
      </c>
      <c r="D12" s="20" t="inlineStr">
        <is>
          <t>Estribos_Tirante:Estribo_Tirante_L5000_A500_fc420:415783</t>
        </is>
      </c>
      <c r="E12" s="20" t="inlineStr">
        <is>
          <t>ED-T1</t>
        </is>
      </c>
      <c r="F12" s="20" t="inlineStr">
        <is>
          <t>Estribos</t>
        </is>
      </c>
      <c r="G12" s="20" t="inlineStr">
        <is>
          <t>Margen Derecha</t>
        </is>
      </c>
      <c r="H12" s="20" t="inlineStr">
        <is>
          <t>Tirante</t>
        </is>
      </c>
      <c r="I12" s="20" t="inlineStr">
        <is>
          <t>COL-MD</t>
        </is>
      </c>
      <c r="J12" s="20" t="n">
        <v>20.403</v>
      </c>
      <c r="K12" s="20" t="inlineStr">
        <is>
          <t>No iniciado</t>
        </is>
      </c>
    </row>
    <row r="13">
      <c r="A13" s="20" t="n">
        <v>2078665</v>
      </c>
      <c r="B13" s="20" t="inlineStr">
        <is>
          <t>31IX94I6r2efzgAGrOkFTW</t>
        </is>
      </c>
      <c r="C13" s="20" t="inlineStr">
        <is>
          <t>SLAB</t>
        </is>
      </c>
      <c r="D13" s="20" t="inlineStr">
        <is>
          <t>Estribos_Columna:Estribo_Columna_L6294_A1200_fc420:1525815</t>
        </is>
      </c>
      <c r="E13" s="20" t="inlineStr">
        <is>
          <t>ED-CO1</t>
        </is>
      </c>
      <c r="F13" s="20" t="inlineStr">
        <is>
          <t>Estribos</t>
        </is>
      </c>
      <c r="G13" s="20" t="inlineStr">
        <is>
          <t>Margen Izquierda</t>
        </is>
      </c>
      <c r="H13" s="20" t="inlineStr">
        <is>
          <t>Columna</t>
        </is>
      </c>
      <c r="I13" s="20" t="inlineStr">
        <is>
          <t>COL-MI</t>
        </is>
      </c>
      <c r="J13" s="20" t="n">
        <v>55.135</v>
      </c>
      <c r="K13" s="20" t="inlineStr"/>
    </row>
    <row r="14">
      <c r="A14" s="20" t="n">
        <v>2078705</v>
      </c>
      <c r="B14" s="20" t="inlineStr">
        <is>
          <t>31IX94I6r2efzgAGrOkFTl</t>
        </is>
      </c>
      <c r="C14" s="20" t="inlineStr">
        <is>
          <t>SLAB</t>
        </is>
      </c>
      <c r="D14" s="20" t="inlineStr">
        <is>
          <t>Estribos_Tirante:Estribo_Tirante_L5000_A500_fc420:1525816</t>
        </is>
      </c>
      <c r="E14" s="20" t="inlineStr">
        <is>
          <t>ED-T1</t>
        </is>
      </c>
      <c r="F14" s="20" t="inlineStr">
        <is>
          <t>Estribos</t>
        </is>
      </c>
      <c r="G14" s="20" t="inlineStr">
        <is>
          <t>Margen Izquierda</t>
        </is>
      </c>
      <c r="H14" s="20" t="inlineStr">
        <is>
          <t>Tirante</t>
        </is>
      </c>
      <c r="I14" s="20" t="inlineStr">
        <is>
          <t>COL-MI</t>
        </is>
      </c>
      <c r="J14" s="20" t="n">
        <v>20.403</v>
      </c>
      <c r="K14" s="20" t="inlineStr"/>
    </row>
    <row r="15">
      <c r="A15" s="20" t="n">
        <v>1061</v>
      </c>
      <c r="B15" s="20" t="inlineStr">
        <is>
          <t>0o80Peddn54RM98uOzdBOw</t>
        </is>
      </c>
      <c r="C15" s="20" t="inlineStr">
        <is>
          <t>FLOWSEGMENT</t>
        </is>
      </c>
      <c r="D15" s="20" t="inlineStr">
        <is>
          <t>Tipos de tubería:Tuberia PVC-SAP:419967</t>
        </is>
      </c>
      <c r="E15" s="20" t="n"/>
      <c r="F15" s="20" t="inlineStr">
        <is>
          <t>Estribos</t>
        </is>
      </c>
      <c r="G15" s="20" t="inlineStr">
        <is>
          <t>Margen Derecha</t>
        </is>
      </c>
      <c r="H15" s="20" t="inlineStr">
        <is>
          <t>TUBOPVCØ4"</t>
        </is>
      </c>
      <c r="I15" s="20" t="inlineStr">
        <is>
          <t>DRE-MD</t>
        </is>
      </c>
      <c r="J15" s="20" t="n"/>
      <c r="K15" s="20" t="inlineStr">
        <is>
          <t>No iniciado</t>
        </is>
      </c>
    </row>
    <row r="16">
      <c r="A16" s="20" t="n">
        <v>1164</v>
      </c>
      <c r="B16" s="20" t="inlineStr">
        <is>
          <t>0o80Peddn54RM98uOzdBFp</t>
        </is>
      </c>
      <c r="C16" s="20" t="inlineStr">
        <is>
          <t>FLOWSEGMENT</t>
        </is>
      </c>
      <c r="D16" s="20" t="inlineStr">
        <is>
          <t>Tipos de tubería:Tuberia PVC-SAP:421302</t>
        </is>
      </c>
      <c r="E16" s="20" t="n"/>
      <c r="F16" s="20" t="inlineStr">
        <is>
          <t>Estribos</t>
        </is>
      </c>
      <c r="G16" s="20" t="inlineStr">
        <is>
          <t>Margen Derecha</t>
        </is>
      </c>
      <c r="H16" s="20" t="inlineStr">
        <is>
          <t>TUBOPVCØ4"</t>
        </is>
      </c>
      <c r="I16" s="20" t="inlineStr">
        <is>
          <t>DRE-MD</t>
        </is>
      </c>
      <c r="J16" s="20" t="n"/>
      <c r="K16" s="20" t="inlineStr">
        <is>
          <t>No iniciado</t>
        </is>
      </c>
    </row>
    <row r="17">
      <c r="A17" s="20" t="n">
        <v>1229</v>
      </c>
      <c r="B17" s="20" t="inlineStr">
        <is>
          <t>0o80Peddn54RM98uOzdBEA</t>
        </is>
      </c>
      <c r="C17" s="20" t="inlineStr">
        <is>
          <t>FLOWSEGMENT</t>
        </is>
      </c>
      <c r="D17" s="20" t="inlineStr">
        <is>
          <t>Tipos de tubería:Tuberia PVC-SAP:421327</t>
        </is>
      </c>
      <c r="E17" s="20" t="n"/>
      <c r="F17" s="20" t="inlineStr">
        <is>
          <t>Estribos</t>
        </is>
      </c>
      <c r="G17" s="20" t="inlineStr">
        <is>
          <t>Margen Derecha</t>
        </is>
      </c>
      <c r="H17" s="20" t="inlineStr">
        <is>
          <t>TUBOPVCØ4"</t>
        </is>
      </c>
      <c r="I17" s="20" t="inlineStr">
        <is>
          <t>DRE-MD</t>
        </is>
      </c>
      <c r="J17" s="20" t="n"/>
      <c r="K17" s="20" t="inlineStr">
        <is>
          <t>No iniciado</t>
        </is>
      </c>
    </row>
    <row r="18">
      <c r="A18" s="20" t="n">
        <v>1294</v>
      </c>
      <c r="B18" s="20" t="inlineStr">
        <is>
          <t>0o80Peddn54RM98uOzdBEl</t>
        </is>
      </c>
      <c r="C18" s="20" t="inlineStr">
        <is>
          <t>FLOWSEGMENT</t>
        </is>
      </c>
      <c r="D18" s="20" t="inlineStr">
        <is>
          <t>Tipos de tubería:Tuberia PVC-SAP:421354</t>
        </is>
      </c>
      <c r="E18" s="20" t="n"/>
      <c r="F18" s="20" t="inlineStr">
        <is>
          <t>Estribos</t>
        </is>
      </c>
      <c r="G18" s="20" t="inlineStr">
        <is>
          <t>Margen Derecha</t>
        </is>
      </c>
      <c r="H18" s="20" t="inlineStr">
        <is>
          <t>TUBOPVCØ4"</t>
        </is>
      </c>
      <c r="I18" s="20" t="inlineStr">
        <is>
          <t>DRE-MD</t>
        </is>
      </c>
      <c r="J18" s="20" t="n"/>
      <c r="K18" s="20" t="inlineStr">
        <is>
          <t>No iniciado</t>
        </is>
      </c>
    </row>
    <row r="19">
      <c r="A19" s="20" t="n">
        <v>2467637</v>
      </c>
      <c r="B19" s="20" t="inlineStr">
        <is>
          <t>3c6cu7lgP8KvmnM44lUGSH</t>
        </is>
      </c>
      <c r="C19" s="20" t="inlineStr">
        <is>
          <t>FLOWSEGMENT</t>
        </is>
      </c>
      <c r="D19" s="20" t="inlineStr">
        <is>
          <t>Tipos de tubería:Tuberia PVC-SAP:1650887</t>
        </is>
      </c>
      <c r="E19" s="20" t="n"/>
      <c r="F19" s="20" t="inlineStr">
        <is>
          <t>Estribos</t>
        </is>
      </c>
      <c r="G19" s="20" t="inlineStr">
        <is>
          <t>Margen Derecha</t>
        </is>
      </c>
      <c r="H19" s="20" t="inlineStr">
        <is>
          <t>TUBOPVCØ4"</t>
        </is>
      </c>
      <c r="I19" s="20" t="inlineStr">
        <is>
          <t>DRE-MD</t>
        </is>
      </c>
      <c r="J19" s="20" t="n"/>
      <c r="K19" s="20" t="inlineStr">
        <is>
          <t>No iniciado</t>
        </is>
      </c>
    </row>
    <row r="20">
      <c r="A20" s="20" t="n">
        <v>2467702</v>
      </c>
      <c r="B20" s="20" t="inlineStr">
        <is>
          <t>3c6cu7lgP8KvmnM44lUGR1</t>
        </is>
      </c>
      <c r="C20" s="20" t="inlineStr">
        <is>
          <t>FLOWSEGMENT</t>
        </is>
      </c>
      <c r="D20" s="20" t="inlineStr">
        <is>
          <t>Tipos de tubería:Tuberia PVC-SAP:1650967</t>
        </is>
      </c>
      <c r="E20" s="20" t="n"/>
      <c r="F20" s="20" t="inlineStr">
        <is>
          <t>Estribos</t>
        </is>
      </c>
      <c r="G20" s="20" t="inlineStr">
        <is>
          <t>Margen Derecha</t>
        </is>
      </c>
      <c r="H20" s="20" t="inlineStr">
        <is>
          <t>TUBOPVCØ4"</t>
        </is>
      </c>
      <c r="I20" s="20" t="inlineStr">
        <is>
          <t>DRE-MD</t>
        </is>
      </c>
      <c r="J20" s="20" t="n"/>
      <c r="K20" s="20" t="inlineStr">
        <is>
          <t>No iniciado</t>
        </is>
      </c>
    </row>
    <row r="21">
      <c r="A21" s="20" t="n">
        <v>2467767</v>
      </c>
      <c r="B21" s="20" t="inlineStr">
        <is>
          <t>3c6cu7lgP8KvmnM44lUGGE</t>
        </is>
      </c>
      <c r="C21" s="20" t="inlineStr">
        <is>
          <t>FLOWSEGMENT</t>
        </is>
      </c>
      <c r="D21" s="20" t="inlineStr">
        <is>
          <t>Tipos de tubería:Tuberia PVC-SAP:1651672</t>
        </is>
      </c>
      <c r="E21" s="20" t="n"/>
      <c r="F21" s="20" t="inlineStr">
        <is>
          <t>Estribos</t>
        </is>
      </c>
      <c r="G21" s="20" t="inlineStr">
        <is>
          <t>Margen Derecha</t>
        </is>
      </c>
      <c r="H21" s="20" t="inlineStr">
        <is>
          <t>TUBOPVCØ4"</t>
        </is>
      </c>
      <c r="I21" s="20" t="inlineStr">
        <is>
          <t>DRE-MD</t>
        </is>
      </c>
      <c r="J21" s="20" t="n"/>
      <c r="K21" s="20" t="inlineStr">
        <is>
          <t>No iniciado</t>
        </is>
      </c>
    </row>
    <row r="22">
      <c r="A22" s="20" t="n">
        <v>2467832</v>
      </c>
      <c r="B22" s="20" t="inlineStr">
        <is>
          <t>3c6cu7lgP8KvmnM44lUGGn</t>
        </is>
      </c>
      <c r="C22" s="20" t="inlineStr">
        <is>
          <t>FLOWSEGMENT</t>
        </is>
      </c>
      <c r="D22" s="20" t="inlineStr">
        <is>
          <t>Tipos de tubería:Tuberia PVC-SAP:1651687</t>
        </is>
      </c>
      <c r="E22" s="20" t="n"/>
      <c r="F22" s="20" t="inlineStr">
        <is>
          <t>Estribos</t>
        </is>
      </c>
      <c r="G22" s="20" t="inlineStr">
        <is>
          <t>Margen Derecha</t>
        </is>
      </c>
      <c r="H22" s="20" t="inlineStr">
        <is>
          <t>TUBOPVCØ4"</t>
        </is>
      </c>
      <c r="I22" s="20" t="inlineStr">
        <is>
          <t>DRE-MD</t>
        </is>
      </c>
      <c r="J22" s="20" t="n"/>
      <c r="K22" s="20" t="inlineStr">
        <is>
          <t>No iniciado</t>
        </is>
      </c>
    </row>
    <row r="23">
      <c r="A23" s="20" t="n">
        <v>2467897</v>
      </c>
      <c r="B23" s="20" t="inlineStr">
        <is>
          <t>3c6cu7lgP8KvmnM44lUGGY</t>
        </is>
      </c>
      <c r="C23" s="20" t="inlineStr">
        <is>
          <t>FLOWSEGMENT</t>
        </is>
      </c>
      <c r="D23" s="20" t="inlineStr">
        <is>
          <t>Tipos de tubería:Tuberia PVC-SAP:1651700</t>
        </is>
      </c>
      <c r="E23" s="20" t="n"/>
      <c r="F23" s="20" t="inlineStr">
        <is>
          <t>Estribos</t>
        </is>
      </c>
      <c r="G23" s="20" t="inlineStr">
        <is>
          <t>Margen Derecha</t>
        </is>
      </c>
      <c r="H23" s="20" t="inlineStr">
        <is>
          <t>TUBOPVCØ4"</t>
        </is>
      </c>
      <c r="I23" s="20" t="inlineStr">
        <is>
          <t>DRE-MD</t>
        </is>
      </c>
      <c r="J23" s="20" t="n"/>
      <c r="K23" s="20" t="inlineStr">
        <is>
          <t>No iniciado</t>
        </is>
      </c>
    </row>
    <row r="24">
      <c r="A24" s="20" t="n">
        <v>2467962</v>
      </c>
      <c r="B24" s="20" t="inlineStr">
        <is>
          <t>3c6cu7lgP8KvmnM44lUGFN</t>
        </is>
      </c>
      <c r="C24" s="20" t="inlineStr">
        <is>
          <t>FLOWSEGMENT</t>
        </is>
      </c>
      <c r="D24" s="20" t="inlineStr">
        <is>
          <t>Tipos de tubería:Tuberia PVC-SAP:1651713</t>
        </is>
      </c>
      <c r="E24" s="20" t="n"/>
      <c r="F24" s="20" t="inlineStr">
        <is>
          <t>Estribos</t>
        </is>
      </c>
      <c r="G24" s="20" t="inlineStr">
        <is>
          <t>Margen Derecha</t>
        </is>
      </c>
      <c r="H24" s="20" t="inlineStr">
        <is>
          <t>TUBOPVCØ4"</t>
        </is>
      </c>
      <c r="I24" s="20" t="inlineStr">
        <is>
          <t>DRE-MD</t>
        </is>
      </c>
      <c r="J24" s="20" t="n"/>
      <c r="K24" s="20" t="inlineStr">
        <is>
          <t>No iniciado</t>
        </is>
      </c>
    </row>
    <row r="25">
      <c r="A25" s="20" t="n">
        <v>2468027</v>
      </c>
      <c r="B25" s="20" t="inlineStr">
        <is>
          <t>3c6cu7lgP8KvmnM44lUGF4</t>
        </is>
      </c>
      <c r="C25" s="20" t="inlineStr">
        <is>
          <t>FLOWSEGMENT</t>
        </is>
      </c>
      <c r="D25" s="20" t="inlineStr">
        <is>
          <t>Tipos de tubería:Tuberia PVC-SAP:1651730</t>
        </is>
      </c>
      <c r="E25" s="20" t="n"/>
      <c r="F25" s="20" t="inlineStr">
        <is>
          <t>Estribos</t>
        </is>
      </c>
      <c r="G25" s="20" t="inlineStr">
        <is>
          <t>Margen Derecha</t>
        </is>
      </c>
      <c r="H25" s="20" t="inlineStr">
        <is>
          <t>TUBOPVCØ4"</t>
        </is>
      </c>
      <c r="I25" s="20" t="inlineStr">
        <is>
          <t>DRE-MD</t>
        </is>
      </c>
      <c r="J25" s="20" t="n"/>
      <c r="K25" s="20" t="inlineStr">
        <is>
          <t>No iniciado</t>
        </is>
      </c>
    </row>
    <row r="26">
      <c r="A26" s="20" t="n">
        <v>2468092</v>
      </c>
      <c r="B26" s="20" t="inlineStr">
        <is>
          <t>3c6cu7lgP8KvmnM44lUG_s</t>
        </is>
      </c>
      <c r="C26" s="20" t="inlineStr">
        <is>
          <t>FLOWSEGMENT</t>
        </is>
      </c>
      <c r="D26" s="20" t="inlineStr">
        <is>
          <t>Tipos de tubería:Tuberia PVC-SAP:1652832</t>
        </is>
      </c>
      <c r="E26" s="20" t="n"/>
      <c r="F26" s="20" t="inlineStr">
        <is>
          <t>Estribos</t>
        </is>
      </c>
      <c r="G26" s="20" t="inlineStr">
        <is>
          <t>Margen Derecha</t>
        </is>
      </c>
      <c r="H26" s="20" t="inlineStr">
        <is>
          <t>TUBOPVCØ4"</t>
        </is>
      </c>
      <c r="I26" s="20" t="inlineStr">
        <is>
          <t>DRE-MD</t>
        </is>
      </c>
      <c r="J26" s="20" t="n"/>
      <c r="K26" s="20" t="inlineStr">
        <is>
          <t>No iniciado</t>
        </is>
      </c>
    </row>
    <row r="27">
      <c r="A27" s="20" t="n">
        <v>2468157</v>
      </c>
      <c r="B27" s="20" t="inlineStr">
        <is>
          <t>3c6cu7lgP8KvmnM44lUG_z</t>
        </is>
      </c>
      <c r="C27" s="20" t="inlineStr">
        <is>
          <t>FLOWSEGMENT</t>
        </is>
      </c>
      <c r="D27" s="20" t="inlineStr">
        <is>
          <t>Tipos de tubería:Tuberia PVC-SAP:1652843</t>
        </is>
      </c>
      <c r="E27" s="20" t="n"/>
      <c r="F27" s="20" t="inlineStr">
        <is>
          <t>Estribos</t>
        </is>
      </c>
      <c r="G27" s="20" t="inlineStr">
        <is>
          <t>Margen Derecha</t>
        </is>
      </c>
      <c r="H27" s="20" t="inlineStr">
        <is>
          <t>TUBOPVCØ4"</t>
        </is>
      </c>
      <c r="I27" s="20" t="inlineStr">
        <is>
          <t>DRE-MD</t>
        </is>
      </c>
      <c r="J27" s="20" t="n"/>
      <c r="K27" s="20" t="inlineStr">
        <is>
          <t>No iniciado</t>
        </is>
      </c>
    </row>
    <row r="28">
      <c r="A28" s="20" t="n">
        <v>2468222</v>
      </c>
      <c r="B28" s="20" t="inlineStr">
        <is>
          <t>3c6cu7lgP8KvmnM44lUG_W</t>
        </is>
      </c>
      <c r="C28" s="20" t="inlineStr">
        <is>
          <t>FLOWSEGMENT</t>
        </is>
      </c>
      <c r="D28" s="20" t="inlineStr">
        <is>
          <t>Tipos de tubería:Tuberia PVC-SAP:1652854</t>
        </is>
      </c>
      <c r="E28" s="20" t="n"/>
      <c r="F28" s="20" t="inlineStr">
        <is>
          <t>Estribos</t>
        </is>
      </c>
      <c r="G28" s="20" t="inlineStr">
        <is>
          <t>Margen Derecha</t>
        </is>
      </c>
      <c r="H28" s="20" t="inlineStr">
        <is>
          <t>TUBOPVCØ4"</t>
        </is>
      </c>
      <c r="I28" s="20" t="inlineStr">
        <is>
          <t>DRE-MD</t>
        </is>
      </c>
      <c r="J28" s="20" t="n"/>
      <c r="K28" s="20" t="inlineStr">
        <is>
          <t>No iniciado</t>
        </is>
      </c>
    </row>
    <row r="29">
      <c r="A29" s="20" t="n">
        <v>2468287</v>
      </c>
      <c r="B29" s="20" t="inlineStr">
        <is>
          <t>3c6cu7lgP8KvmnM44lUGzN</t>
        </is>
      </c>
      <c r="C29" s="20" t="inlineStr">
        <is>
          <t>FLOWSEGMENT</t>
        </is>
      </c>
      <c r="D29" s="20" t="inlineStr">
        <is>
          <t>Tipos de tubería:Tuberia PVC-SAP:1652865</t>
        </is>
      </c>
      <c r="E29" s="20" t="n"/>
      <c r="F29" s="20" t="inlineStr">
        <is>
          <t>Estribos</t>
        </is>
      </c>
      <c r="G29" s="20" t="inlineStr">
        <is>
          <t>Margen Derecha</t>
        </is>
      </c>
      <c r="H29" s="20" t="inlineStr">
        <is>
          <t>TUBOPVCØ4"</t>
        </is>
      </c>
      <c r="I29" s="20" t="inlineStr">
        <is>
          <t>DRE-MD</t>
        </is>
      </c>
      <c r="J29" s="20" t="n"/>
      <c r="K29" s="20" t="inlineStr">
        <is>
          <t>No iniciado</t>
        </is>
      </c>
    </row>
    <row r="30">
      <c r="A30" s="20" t="n">
        <v>2468352</v>
      </c>
      <c r="B30" s="20" t="inlineStr">
        <is>
          <t>3c6cu7lgP8KvmnM44lUGzQ</t>
        </is>
      </c>
      <c r="C30" s="20" t="inlineStr">
        <is>
          <t>FLOWSEGMENT</t>
        </is>
      </c>
      <c r="D30" s="20" t="inlineStr">
        <is>
          <t>Tipos de tubería:Tuberia PVC-SAP:1652876</t>
        </is>
      </c>
      <c r="E30" s="20" t="n"/>
      <c r="F30" s="20" t="inlineStr">
        <is>
          <t>Estribos</t>
        </is>
      </c>
      <c r="G30" s="20" t="inlineStr">
        <is>
          <t>Margen Derecha</t>
        </is>
      </c>
      <c r="H30" s="20" t="inlineStr">
        <is>
          <t>TUBOPVCØ4"</t>
        </is>
      </c>
      <c r="I30" s="20" t="inlineStr">
        <is>
          <t>DRE-MD</t>
        </is>
      </c>
      <c r="J30" s="20" t="n"/>
      <c r="K30" s="20" t="inlineStr">
        <is>
          <t>No iniciado</t>
        </is>
      </c>
    </row>
    <row r="31">
      <c r="A31" s="20" t="n">
        <v>2468417</v>
      </c>
      <c r="B31" s="20" t="inlineStr">
        <is>
          <t>0FZutSDmbA7u4L9MSLIIH9</t>
        </is>
      </c>
      <c r="C31" s="20" t="inlineStr">
        <is>
          <t>FLOWSEGMENT</t>
        </is>
      </c>
      <c r="D31" s="20" t="inlineStr">
        <is>
          <t>Tipos de tubería:Tuberia PVC-SAP:1654580</t>
        </is>
      </c>
      <c r="E31" s="20" t="n"/>
      <c r="F31" s="20" t="inlineStr">
        <is>
          <t>Estribos</t>
        </is>
      </c>
      <c r="G31" s="20" t="inlineStr">
        <is>
          <t>Margen Derecha</t>
        </is>
      </c>
      <c r="H31" s="20" t="inlineStr">
        <is>
          <t>TUBOPVCØ4"</t>
        </is>
      </c>
      <c r="I31" s="20" t="inlineStr">
        <is>
          <t>DRE-MD</t>
        </is>
      </c>
      <c r="J31" s="20" t="n"/>
      <c r="K31" s="20" t="inlineStr">
        <is>
          <t>Ejecutado</t>
        </is>
      </c>
    </row>
    <row r="32">
      <c r="A32" s="20" t="n">
        <v>2468482</v>
      </c>
      <c r="B32" s="20" t="inlineStr">
        <is>
          <t>0FZutSDmbA7u4L9MSLIIHB</t>
        </is>
      </c>
      <c r="C32" s="20" t="inlineStr">
        <is>
          <t>FLOWSEGMENT</t>
        </is>
      </c>
      <c r="D32" s="20" t="inlineStr">
        <is>
          <t>Tipos de tubería:Tuberia PVC-SAP:1654582</t>
        </is>
      </c>
      <c r="E32" s="20" t="n"/>
      <c r="F32" s="20" t="inlineStr">
        <is>
          <t>Estribos</t>
        </is>
      </c>
      <c r="G32" s="20" t="inlineStr">
        <is>
          <t>Margen Derecha</t>
        </is>
      </c>
      <c r="H32" s="20" t="inlineStr">
        <is>
          <t>TUBOPVCØ4"</t>
        </is>
      </c>
      <c r="I32" s="20" t="inlineStr">
        <is>
          <t>DRE-MD</t>
        </is>
      </c>
      <c r="J32" s="20" t="n"/>
      <c r="K32" s="20" t="inlineStr">
        <is>
          <t>Ejecutado</t>
        </is>
      </c>
    </row>
    <row r="33">
      <c r="A33" s="20" t="n">
        <v>2468547</v>
      </c>
      <c r="B33" s="20" t="inlineStr">
        <is>
          <t>0FZutSDmbA7u4L9MSLIIH5</t>
        </is>
      </c>
      <c r="C33" s="20" t="inlineStr">
        <is>
          <t>FLOWSEGMENT</t>
        </is>
      </c>
      <c r="D33" s="20" t="inlineStr">
        <is>
          <t>Tipos de tubería:Tuberia PVC-SAP:1654584</t>
        </is>
      </c>
      <c r="E33" s="20" t="n"/>
      <c r="F33" s="20" t="inlineStr">
        <is>
          <t>Estribos</t>
        </is>
      </c>
      <c r="G33" s="20" t="inlineStr">
        <is>
          <t>Margen Derecha</t>
        </is>
      </c>
      <c r="H33" s="20" t="inlineStr">
        <is>
          <t>TUBOPVCØ4"</t>
        </is>
      </c>
      <c r="I33" s="20" t="inlineStr">
        <is>
          <t>DRE-MD</t>
        </is>
      </c>
      <c r="J33" s="20" t="n"/>
      <c r="K33" s="20" t="inlineStr">
        <is>
          <t>Ejecutado</t>
        </is>
      </c>
    </row>
    <row r="34">
      <c r="A34" s="20" t="n">
        <v>2468612</v>
      </c>
      <c r="B34" s="20" t="inlineStr">
        <is>
          <t>0FZutSDmbA7u4L9MSLIIH7</t>
        </is>
      </c>
      <c r="C34" s="20" t="inlineStr">
        <is>
          <t>FLOWSEGMENT</t>
        </is>
      </c>
      <c r="D34" s="20" t="inlineStr">
        <is>
          <t>Tipos de tubería:Tuberia PVC-SAP:1654586</t>
        </is>
      </c>
      <c r="E34" s="20" t="n"/>
      <c r="F34" s="20" t="inlineStr">
        <is>
          <t>Estribos</t>
        </is>
      </c>
      <c r="G34" s="20" t="inlineStr">
        <is>
          <t>Margen Derecha</t>
        </is>
      </c>
      <c r="H34" s="20" t="inlineStr">
        <is>
          <t>TUBOPVCØ4"</t>
        </is>
      </c>
      <c r="I34" s="20" t="inlineStr">
        <is>
          <t>DRE-MD</t>
        </is>
      </c>
      <c r="J34" s="20" t="n"/>
      <c r="K34" s="20" t="inlineStr">
        <is>
          <t>Ejecutado</t>
        </is>
      </c>
    </row>
    <row r="35">
      <c r="A35" s="20" t="n">
        <v>2468677</v>
      </c>
      <c r="B35" s="20" t="inlineStr">
        <is>
          <t>0FZutSDmbA7u4L9MSLIIH1</t>
        </is>
      </c>
      <c r="C35" s="20" t="inlineStr">
        <is>
          <t>FLOWSEGMENT</t>
        </is>
      </c>
      <c r="D35" s="20" t="inlineStr">
        <is>
          <t>Tipos de tubería:Tuberia PVC-SAP:1654588</t>
        </is>
      </c>
      <c r="E35" s="20" t="n"/>
      <c r="F35" s="20" t="inlineStr">
        <is>
          <t>Estribos</t>
        </is>
      </c>
      <c r="G35" s="20" t="inlineStr">
        <is>
          <t>Margen Derecha</t>
        </is>
      </c>
      <c r="H35" s="20" t="inlineStr">
        <is>
          <t>TUBOPVCØ4"</t>
        </is>
      </c>
      <c r="I35" s="20" t="inlineStr">
        <is>
          <t>DRE-MD</t>
        </is>
      </c>
      <c r="J35" s="20" t="n"/>
      <c r="K35" s="20" t="inlineStr">
        <is>
          <t>Ejecutado</t>
        </is>
      </c>
    </row>
    <row r="36">
      <c r="A36" s="20" t="n">
        <v>2468742</v>
      </c>
      <c r="B36" s="20" t="inlineStr">
        <is>
          <t>0FZutSDmbA7u4L9MSLIIH3</t>
        </is>
      </c>
      <c r="C36" s="20" t="inlineStr">
        <is>
          <t>FLOWSEGMENT</t>
        </is>
      </c>
      <c r="D36" s="20" t="inlineStr">
        <is>
          <t>Tipos de tubería:Tuberia PVC-SAP:1654590</t>
        </is>
      </c>
      <c r="E36" s="20" t="n"/>
      <c r="F36" s="20" t="inlineStr">
        <is>
          <t>Estribos</t>
        </is>
      </c>
      <c r="G36" s="20" t="inlineStr">
        <is>
          <t>Margen Derecha</t>
        </is>
      </c>
      <c r="H36" s="20" t="inlineStr">
        <is>
          <t>TUBOPVCØ4"</t>
        </is>
      </c>
      <c r="I36" s="20" t="inlineStr">
        <is>
          <t>DRE-MD</t>
        </is>
      </c>
      <c r="J36" s="20" t="n"/>
      <c r="K36" s="20" t="inlineStr">
        <is>
          <t>Ejecutado</t>
        </is>
      </c>
    </row>
    <row r="37">
      <c r="A37" s="20" t="n">
        <v>2468807</v>
      </c>
      <c r="B37" s="20" t="inlineStr">
        <is>
          <t>0FZutSDmbA7u4L9MSLIIGz</t>
        </is>
      </c>
      <c r="C37" s="20" t="inlineStr">
        <is>
          <t>FLOWSEGMENT</t>
        </is>
      </c>
      <c r="D37" s="20" t="inlineStr">
        <is>
          <t>Tipos de tubería:Tuberia PVC-SAP:1654592</t>
        </is>
      </c>
      <c r="E37" s="20" t="n"/>
      <c r="F37" s="20" t="inlineStr">
        <is>
          <t>Estribos</t>
        </is>
      </c>
      <c r="G37" s="20" t="inlineStr">
        <is>
          <t>Margen Derecha</t>
        </is>
      </c>
      <c r="H37" s="20" t="inlineStr">
        <is>
          <t>TUBOPVCØ4"</t>
        </is>
      </c>
      <c r="I37" s="20" t="inlineStr">
        <is>
          <t>DRE-MD</t>
        </is>
      </c>
      <c r="J37" s="20" t="n"/>
      <c r="K37" s="20" t="inlineStr">
        <is>
          <t>Ejecutado</t>
        </is>
      </c>
    </row>
    <row r="38">
      <c r="A38" s="20" t="n">
        <v>2468872</v>
      </c>
      <c r="B38" s="20" t="inlineStr">
        <is>
          <t>0FZutSDmbA7u4L9MSLIIG$</t>
        </is>
      </c>
      <c r="C38" s="20" t="inlineStr">
        <is>
          <t>FLOWSEGMENT</t>
        </is>
      </c>
      <c r="D38" s="20" t="inlineStr">
        <is>
          <t>Tipos de tubería:Tuberia PVC-SAP:1654594</t>
        </is>
      </c>
      <c r="E38" s="20" t="n"/>
      <c r="F38" s="20" t="inlineStr">
        <is>
          <t>Estribos</t>
        </is>
      </c>
      <c r="G38" s="20" t="inlineStr">
        <is>
          <t>Margen Derecha</t>
        </is>
      </c>
      <c r="H38" s="20" t="inlineStr">
        <is>
          <t>TUBOPVCØ4"</t>
        </is>
      </c>
      <c r="I38" s="20" t="inlineStr">
        <is>
          <t>DRE-MD</t>
        </is>
      </c>
      <c r="J38" s="20" t="n"/>
      <c r="K38" s="20" t="inlineStr">
        <is>
          <t>Ejecutado</t>
        </is>
      </c>
    </row>
    <row r="39">
      <c r="A39" s="20" t="n">
        <v>2468937</v>
      </c>
      <c r="B39" s="20" t="inlineStr">
        <is>
          <t>0FZutSDmbA7u4L9MSLIIGv</t>
        </is>
      </c>
      <c r="C39" s="20" t="inlineStr">
        <is>
          <t>FLOWSEGMENT</t>
        </is>
      </c>
      <c r="D39" s="20" t="inlineStr">
        <is>
          <t>Tipos de tubería:Tuberia PVC-SAP:1654596</t>
        </is>
      </c>
      <c r="E39" s="20" t="n"/>
      <c r="F39" s="20" t="inlineStr">
        <is>
          <t>Estribos</t>
        </is>
      </c>
      <c r="G39" s="20" t="inlineStr">
        <is>
          <t>Margen Derecha</t>
        </is>
      </c>
      <c r="H39" s="20" t="inlineStr">
        <is>
          <t>TUBOPVCØ4"</t>
        </is>
      </c>
      <c r="I39" s="20" t="inlineStr">
        <is>
          <t>DRE-MD</t>
        </is>
      </c>
      <c r="J39" s="20" t="n"/>
      <c r="K39" s="20" t="inlineStr">
        <is>
          <t>Ejecutado</t>
        </is>
      </c>
    </row>
    <row r="40">
      <c r="A40" s="20" t="n">
        <v>2469002</v>
      </c>
      <c r="B40" s="20" t="inlineStr">
        <is>
          <t>0FZutSDmbA7u4L9MSLIIGx</t>
        </is>
      </c>
      <c r="C40" s="20" t="inlineStr">
        <is>
          <t>FLOWSEGMENT</t>
        </is>
      </c>
      <c r="D40" s="20" t="inlineStr">
        <is>
          <t>Tipos de tubería:Tuberia PVC-SAP:1654598</t>
        </is>
      </c>
      <c r="E40" s="20" t="n"/>
      <c r="F40" s="20" t="inlineStr">
        <is>
          <t>Estribos</t>
        </is>
      </c>
      <c r="G40" s="20" t="inlineStr">
        <is>
          <t>Margen Derecha</t>
        </is>
      </c>
      <c r="H40" s="20" t="inlineStr">
        <is>
          <t>TUBOPVCØ4"</t>
        </is>
      </c>
      <c r="I40" s="20" t="inlineStr">
        <is>
          <t>DRE-MD</t>
        </is>
      </c>
      <c r="J40" s="20" t="n"/>
      <c r="K40" s="20" t="inlineStr">
        <is>
          <t>Ejecutado</t>
        </is>
      </c>
    </row>
    <row r="41">
      <c r="A41" s="20" t="n">
        <v>2469067</v>
      </c>
      <c r="B41" s="20" t="inlineStr">
        <is>
          <t>0FZutSDmbA7u4L9MSLIIGr</t>
        </is>
      </c>
      <c r="C41" s="20" t="inlineStr">
        <is>
          <t>FLOWSEGMENT</t>
        </is>
      </c>
      <c r="D41" s="20" t="inlineStr">
        <is>
          <t>Tipos de tubería:Tuberia PVC-SAP:1654600</t>
        </is>
      </c>
      <c r="E41" s="20" t="n"/>
      <c r="F41" s="20" t="inlineStr">
        <is>
          <t>Estribos</t>
        </is>
      </c>
      <c r="G41" s="20" t="inlineStr">
        <is>
          <t>Margen Derecha</t>
        </is>
      </c>
      <c r="H41" s="20" t="inlineStr">
        <is>
          <t>TUBOPVCØ4"</t>
        </is>
      </c>
      <c r="I41" s="20" t="inlineStr">
        <is>
          <t>DRE-MD</t>
        </is>
      </c>
      <c r="J41" s="20" t="n"/>
      <c r="K41" s="20" t="inlineStr">
        <is>
          <t>Ejecutado</t>
        </is>
      </c>
    </row>
    <row r="42">
      <c r="A42" s="20" t="n">
        <v>2469132</v>
      </c>
      <c r="B42" s="20" t="inlineStr">
        <is>
          <t>0FZutSDmbA7u4L9MSLIIGt</t>
        </is>
      </c>
      <c r="C42" s="20" t="inlineStr">
        <is>
          <t>FLOWSEGMENT</t>
        </is>
      </c>
      <c r="D42" s="20" t="inlineStr">
        <is>
          <t>Tipos de tubería:Tuberia PVC-SAP:1654602</t>
        </is>
      </c>
      <c r="E42" s="20" t="n"/>
      <c r="F42" s="20" t="inlineStr">
        <is>
          <t>Estribos</t>
        </is>
      </c>
      <c r="G42" s="20" t="inlineStr">
        <is>
          <t>Margen Derecha</t>
        </is>
      </c>
      <c r="H42" s="20" t="inlineStr">
        <is>
          <t>TUBOPVCØ4"</t>
        </is>
      </c>
      <c r="I42" s="20" t="inlineStr">
        <is>
          <t>DRE-MD</t>
        </is>
      </c>
      <c r="J42" s="20" t="n"/>
      <c r="K42" s="20" t="inlineStr">
        <is>
          <t>Ejecutado</t>
        </is>
      </c>
    </row>
    <row r="43">
      <c r="A43" s="20" t="n">
        <v>2469197</v>
      </c>
      <c r="B43" s="20" t="inlineStr">
        <is>
          <t>0FZutSDmbA7u4L9MSLIIGn</t>
        </is>
      </c>
      <c r="C43" s="20" t="inlineStr">
        <is>
          <t>FLOWSEGMENT</t>
        </is>
      </c>
      <c r="D43" s="20" t="inlineStr">
        <is>
          <t>Tipos de tubería:Tuberia PVC-SAP:1654604</t>
        </is>
      </c>
      <c r="E43" s="20" t="n"/>
      <c r="F43" s="20" t="inlineStr">
        <is>
          <t>Estribos</t>
        </is>
      </c>
      <c r="G43" s="20" t="inlineStr">
        <is>
          <t>Margen Derecha</t>
        </is>
      </c>
      <c r="H43" s="20" t="inlineStr">
        <is>
          <t>TUBOPVCØ4"</t>
        </is>
      </c>
      <c r="I43" s="20" t="inlineStr">
        <is>
          <t>DRE-MD</t>
        </is>
      </c>
      <c r="J43" s="20" t="n"/>
      <c r="K43" s="20" t="inlineStr">
        <is>
          <t>Ejecutado</t>
        </is>
      </c>
    </row>
    <row r="44">
      <c r="A44" s="20" t="n">
        <v>2469262</v>
      </c>
      <c r="B44" s="20" t="inlineStr">
        <is>
          <t>0FZutSDmbA7u4L9MSLIIGp</t>
        </is>
      </c>
      <c r="C44" s="20" t="inlineStr">
        <is>
          <t>FLOWSEGMENT</t>
        </is>
      </c>
      <c r="D44" s="20" t="inlineStr">
        <is>
          <t>Tipos de tubería:Tuberia PVC-SAP:1654606</t>
        </is>
      </c>
      <c r="E44" s="20" t="n"/>
      <c r="F44" s="20" t="inlineStr">
        <is>
          <t>Estribos</t>
        </is>
      </c>
      <c r="G44" s="20" t="inlineStr">
        <is>
          <t>Margen Derecha</t>
        </is>
      </c>
      <c r="H44" s="20" t="inlineStr">
        <is>
          <t>TUBOPVCØ4"</t>
        </is>
      </c>
      <c r="I44" s="20" t="inlineStr">
        <is>
          <t>DRE-MD</t>
        </is>
      </c>
      <c r="J44" s="20" t="n"/>
      <c r="K44" s="20" t="inlineStr">
        <is>
          <t>Ejecutado</t>
        </is>
      </c>
    </row>
    <row r="45">
      <c r="A45" s="20" t="n">
        <v>2469327</v>
      </c>
      <c r="B45" s="20" t="inlineStr">
        <is>
          <t>0FZutSDmbA7u4L9MSLIIGj</t>
        </is>
      </c>
      <c r="C45" s="20" t="inlineStr">
        <is>
          <t>FLOWSEGMENT</t>
        </is>
      </c>
      <c r="D45" s="20" t="inlineStr">
        <is>
          <t>Tipos de tubería:Tuberia PVC-SAP:1654608</t>
        </is>
      </c>
      <c r="E45" s="20" t="n"/>
      <c r="F45" s="20" t="inlineStr">
        <is>
          <t>Estribos</t>
        </is>
      </c>
      <c r="G45" s="20" t="inlineStr">
        <is>
          <t>Margen Derecha</t>
        </is>
      </c>
      <c r="H45" s="20" t="inlineStr">
        <is>
          <t>TUBOPVCØ4"</t>
        </is>
      </c>
      <c r="I45" s="20" t="inlineStr">
        <is>
          <t>DRE-MD</t>
        </is>
      </c>
      <c r="J45" s="20" t="n"/>
      <c r="K45" s="20" t="inlineStr">
        <is>
          <t>Ejecutado</t>
        </is>
      </c>
    </row>
    <row r="46">
      <c r="A46" s="20" t="n">
        <v>2469392</v>
      </c>
      <c r="B46" s="20" t="inlineStr">
        <is>
          <t>0FZutSDmbA7u4L9MSLIIGl</t>
        </is>
      </c>
      <c r="C46" s="20" t="inlineStr">
        <is>
          <t>FLOWSEGMENT</t>
        </is>
      </c>
      <c r="D46" s="20" t="inlineStr">
        <is>
          <t>Tipos de tubería:Tuberia PVC-SAP:1654610</t>
        </is>
      </c>
      <c r="E46" s="20" t="n"/>
      <c r="F46" s="20" t="inlineStr">
        <is>
          <t>Estribos</t>
        </is>
      </c>
      <c r="G46" s="20" t="inlineStr">
        <is>
          <t>Margen Derecha</t>
        </is>
      </c>
      <c r="H46" s="20" t="inlineStr">
        <is>
          <t>TUBOPVCØ4"</t>
        </is>
      </c>
      <c r="I46" s="20" t="inlineStr">
        <is>
          <t>DRE-MD</t>
        </is>
      </c>
      <c r="J46" s="20" t="n"/>
      <c r="K46" s="20" t="inlineStr">
        <is>
          <t>Ejecutado</t>
        </is>
      </c>
    </row>
    <row r="47">
      <c r="A47" s="20" t="n">
        <v>389</v>
      </c>
      <c r="B47" s="20" t="inlineStr">
        <is>
          <t>2t1$kOTDX16wjqwHtKTucI</t>
        </is>
      </c>
      <c r="C47" s="20" t="inlineStr">
        <is>
          <t>SLAB</t>
        </is>
      </c>
      <c r="D47" s="20" t="inlineStr">
        <is>
          <t>Estribos_MurosFrontales:Estribo_MFrontal_e1200_fc280:412214</t>
        </is>
      </c>
      <c r="E47" s="20" t="inlineStr">
        <is>
          <t>ED-M2</t>
        </is>
      </c>
      <c r="F47" s="20" t="inlineStr">
        <is>
          <t>Estribos</t>
        </is>
      </c>
      <c r="G47" s="20" t="inlineStr">
        <is>
          <t>Margen Derecha</t>
        </is>
      </c>
      <c r="H47" s="20" t="inlineStr">
        <is>
          <t>MuroFrontal</t>
        </is>
      </c>
      <c r="I47" s="20" t="inlineStr">
        <is>
          <t>MUR-MD</t>
        </is>
      </c>
      <c r="J47" s="20" t="n">
        <v>39.085</v>
      </c>
      <c r="K47" s="20" t="inlineStr">
        <is>
          <t>No iniciado</t>
        </is>
      </c>
    </row>
    <row r="48">
      <c r="A48" s="20" t="n">
        <v>453</v>
      </c>
      <c r="B48" s="20" t="inlineStr">
        <is>
          <t>2t1$kOTDX16wjqwHtKTu_n</t>
        </is>
      </c>
      <c r="C48" s="20" t="inlineStr">
        <is>
          <t>SLAB</t>
        </is>
      </c>
      <c r="D48" s="20" t="inlineStr">
        <is>
          <t>Estribos_MurosFrontales:Estribo_MFrontal_e1200_fc280:412693</t>
        </is>
      </c>
      <c r="E48" s="20" t="inlineStr">
        <is>
          <t>ED-MF1</t>
        </is>
      </c>
      <c r="F48" s="20" t="inlineStr">
        <is>
          <t>Estribos</t>
        </is>
      </c>
      <c r="G48" s="20" t="inlineStr">
        <is>
          <t>Margen Derecha</t>
        </is>
      </c>
      <c r="H48" s="20" t="inlineStr">
        <is>
          <t>MuroFrontal</t>
        </is>
      </c>
      <c r="I48" s="20" t="inlineStr">
        <is>
          <t>MUR-MD</t>
        </is>
      </c>
      <c r="J48" s="20" t="n">
        <v>39.085</v>
      </c>
      <c r="K48" s="20" t="inlineStr">
        <is>
          <t>No iniciado</t>
        </is>
      </c>
    </row>
    <row r="49">
      <c r="A49" s="20" t="n">
        <v>543</v>
      </c>
      <c r="B49" s="20" t="inlineStr">
        <is>
          <t>2t1$kOTDX16wjqwHtKTvF5</t>
        </is>
      </c>
      <c r="C49" s="20" t="inlineStr">
        <is>
          <t>SLAB</t>
        </is>
      </c>
      <c r="D49" s="20" t="inlineStr">
        <is>
          <t>Estribos_MurosPosterior:Estribo_MPosterior_fc280:413793</t>
        </is>
      </c>
      <c r="E49" s="20" t="inlineStr">
        <is>
          <t>ED-MP1</t>
        </is>
      </c>
      <c r="F49" s="20" t="inlineStr">
        <is>
          <t>Estribos</t>
        </is>
      </c>
      <c r="G49" s="20" t="inlineStr">
        <is>
          <t>Margen Derecha</t>
        </is>
      </c>
      <c r="H49" s="20" t="inlineStr">
        <is>
          <t>MuroPosterior</t>
        </is>
      </c>
      <c r="I49" s="20" t="inlineStr">
        <is>
          <t>MUR-MD</t>
        </is>
      </c>
      <c r="J49" s="20" t="n">
        <v>163.632</v>
      </c>
      <c r="K49" s="20" t="inlineStr">
        <is>
          <t>No iniciado</t>
        </is>
      </c>
    </row>
    <row r="50">
      <c r="A50" s="20" t="n">
        <v>650</v>
      </c>
      <c r="B50" s="20" t="inlineStr">
        <is>
          <t>2t1$kOTDX16wjqwHtKTv7k</t>
        </is>
      </c>
      <c r="C50" s="20" t="inlineStr">
        <is>
          <t>SLAB</t>
        </is>
      </c>
      <c r="D50" s="20" t="inlineStr">
        <is>
          <t>Estribos_MurosLaterales:Estribo_MLaterales_e750_fc280:414282</t>
        </is>
      </c>
      <c r="E50" s="20" t="inlineStr">
        <is>
          <t>ED-ML2</t>
        </is>
      </c>
      <c r="F50" s="20" t="inlineStr">
        <is>
          <t>Estribos</t>
        </is>
      </c>
      <c r="G50" s="20" t="inlineStr">
        <is>
          <t>Margen Derecha</t>
        </is>
      </c>
      <c r="H50" s="20" t="inlineStr">
        <is>
          <t>MuroLateral</t>
        </is>
      </c>
      <c r="I50" s="20" t="inlineStr">
        <is>
          <t>MUR-MD</t>
        </is>
      </c>
      <c r="J50" s="20" t="n">
        <v>92.791</v>
      </c>
      <c r="K50" s="20" t="inlineStr">
        <is>
          <t>No iniciado</t>
        </is>
      </c>
    </row>
    <row r="51">
      <c r="A51" s="20" t="n">
        <v>756</v>
      </c>
      <c r="B51" s="20" t="inlineStr">
        <is>
          <t>2t1$kOTDX16wjqwHtKTv7H</t>
        </is>
      </c>
      <c r="C51" s="20" t="inlineStr">
        <is>
          <t>SLAB</t>
        </is>
      </c>
      <c r="D51" s="20" t="inlineStr">
        <is>
          <t>Estribos_MurosLaterales:Estribo_MLaterales_e750_fc280:414325</t>
        </is>
      </c>
      <c r="E51" s="20" t="inlineStr">
        <is>
          <t>ED-M1</t>
        </is>
      </c>
      <c r="F51" s="20" t="inlineStr">
        <is>
          <t>Estribos</t>
        </is>
      </c>
      <c r="G51" s="20" t="inlineStr">
        <is>
          <t>Margen Derecha</t>
        </is>
      </c>
      <c r="H51" s="20" t="inlineStr">
        <is>
          <t>MuroLateral</t>
        </is>
      </c>
      <c r="I51" s="20" t="inlineStr">
        <is>
          <t>MUR-MD</t>
        </is>
      </c>
      <c r="J51" s="20" t="n">
        <v>92.791</v>
      </c>
      <c r="K51" s="20" t="inlineStr">
        <is>
          <t>No iniciado</t>
        </is>
      </c>
    </row>
    <row r="52">
      <c r="A52" s="20" t="n">
        <v>2078329</v>
      </c>
      <c r="B52" s="20" t="inlineStr">
        <is>
          <t>31IX94I6r2efzgAGrOkFTb</t>
        </is>
      </c>
      <c r="C52" s="20" t="inlineStr">
        <is>
          <t>SLAB</t>
        </is>
      </c>
      <c r="D52" s="20" t="inlineStr">
        <is>
          <t>Estribos_MurosFrontales:Estribo_MFrontal_e1200_fc280:1525810</t>
        </is>
      </c>
      <c r="E52" s="20" t="inlineStr">
        <is>
          <t>ED-M2</t>
        </is>
      </c>
      <c r="F52" s="20" t="inlineStr">
        <is>
          <t>Estribos</t>
        </is>
      </c>
      <c r="G52" s="20" t="inlineStr">
        <is>
          <t>Margen Izquierda</t>
        </is>
      </c>
      <c r="H52" s="20" t="inlineStr">
        <is>
          <t>MuroFrontal</t>
        </is>
      </c>
      <c r="I52" s="20" t="inlineStr">
        <is>
          <t>MUR-MI</t>
        </is>
      </c>
      <c r="J52" s="20" t="n">
        <v>39.085</v>
      </c>
      <c r="K52" s="20" t="inlineStr">
        <is>
          <t>Ejecutado</t>
        </is>
      </c>
    </row>
    <row r="53">
      <c r="A53" s="20" t="n">
        <v>2078371</v>
      </c>
      <c r="B53" s="20" t="inlineStr">
        <is>
          <t>31IX94I6r2efzgAGrOkFTa</t>
        </is>
      </c>
      <c r="C53" s="20" t="inlineStr">
        <is>
          <t>SLAB</t>
        </is>
      </c>
      <c r="D53" s="20" t="inlineStr">
        <is>
          <t>Estribos_MurosFrontales:Estribo_MFrontal_e1200_fc280:1525811</t>
        </is>
      </c>
      <c r="E53" s="20" t="inlineStr">
        <is>
          <t>ED-MF1</t>
        </is>
      </c>
      <c r="F53" s="20" t="inlineStr">
        <is>
          <t>Estribos</t>
        </is>
      </c>
      <c r="G53" s="20" t="inlineStr">
        <is>
          <t>Margen Izquierda</t>
        </is>
      </c>
      <c r="H53" s="20" t="inlineStr">
        <is>
          <t>MuroFrontal</t>
        </is>
      </c>
      <c r="I53" s="20" t="inlineStr">
        <is>
          <t>MUR-MI</t>
        </is>
      </c>
      <c r="J53" s="20" t="n">
        <v>39.085</v>
      </c>
      <c r="K53" s="20" t="inlineStr">
        <is>
          <t>No iniciado</t>
        </is>
      </c>
    </row>
    <row r="54">
      <c r="A54" s="20" t="n">
        <v>2078461</v>
      </c>
      <c r="B54" s="20" t="inlineStr">
        <is>
          <t>31IX94I6r2efzgAGrOkFTZ</t>
        </is>
      </c>
      <c r="C54" s="20" t="inlineStr">
        <is>
          <t>SLAB</t>
        </is>
      </c>
      <c r="D54" s="20" t="inlineStr">
        <is>
          <t>Estribos_MurosPosterior:Estribo_MPosterior_fc280:1525812</t>
        </is>
      </c>
      <c r="E54" s="20" t="inlineStr">
        <is>
          <t>ED-MP1</t>
        </is>
      </c>
      <c r="F54" s="20" t="inlineStr">
        <is>
          <t>Estribos</t>
        </is>
      </c>
      <c r="G54" s="20" t="inlineStr">
        <is>
          <t>Margen Izquierda</t>
        </is>
      </c>
      <c r="H54" s="20" t="inlineStr">
        <is>
          <t>MuroPosterior</t>
        </is>
      </c>
      <c r="I54" s="20" t="inlineStr">
        <is>
          <t>MUR-MI</t>
        </is>
      </c>
      <c r="J54" s="20" t="n">
        <v>163.632</v>
      </c>
      <c r="K54" s="20" t="inlineStr">
        <is>
          <t>No iniciado</t>
        </is>
      </c>
    </row>
    <row r="55">
      <c r="A55" s="20" t="n">
        <v>2078544</v>
      </c>
      <c r="B55" s="20" t="inlineStr">
        <is>
          <t>31IX94I6r2efzgAGrOkFTY</t>
        </is>
      </c>
      <c r="C55" s="20" t="inlineStr">
        <is>
          <t>SLAB</t>
        </is>
      </c>
      <c r="D55" s="20" t="inlineStr">
        <is>
          <t>Estribos_MurosLaterales:Estribo_MLaterales_e750_fc280:1525813</t>
        </is>
      </c>
      <c r="E55" s="20" t="inlineStr">
        <is>
          <t>ED-ML2</t>
        </is>
      </c>
      <c r="F55" s="20" t="inlineStr">
        <is>
          <t>Estribos</t>
        </is>
      </c>
      <c r="G55" s="20" t="inlineStr">
        <is>
          <t>Margen Izquierda</t>
        </is>
      </c>
      <c r="H55" s="20" t="inlineStr">
        <is>
          <t>MuroLateral</t>
        </is>
      </c>
      <c r="I55" s="20" t="inlineStr">
        <is>
          <t>MUR-MI</t>
        </is>
      </c>
      <c r="J55" s="20" t="n">
        <v>92.791</v>
      </c>
      <c r="K55" s="20" t="inlineStr">
        <is>
          <t>No iniciado</t>
        </is>
      </c>
    </row>
    <row r="56">
      <c r="A56" s="20" t="n">
        <v>2078627</v>
      </c>
      <c r="B56" s="20" t="inlineStr">
        <is>
          <t>31IX94I6r2efzgAGrOkFTX</t>
        </is>
      </c>
      <c r="C56" s="20" t="inlineStr">
        <is>
          <t>SLAB</t>
        </is>
      </c>
      <c r="D56" s="20" t="inlineStr">
        <is>
          <t>Estribos_MurosLaterales:Estribo_MLaterales_e750_fc280:1525814</t>
        </is>
      </c>
      <c r="E56" s="20" t="inlineStr">
        <is>
          <t>ED-M1</t>
        </is>
      </c>
      <c r="F56" s="20" t="inlineStr">
        <is>
          <t>Estribos</t>
        </is>
      </c>
      <c r="G56" s="20" t="inlineStr">
        <is>
          <t>Margen Izquierda</t>
        </is>
      </c>
      <c r="H56" s="20" t="inlineStr">
        <is>
          <t>MuroLateral</t>
        </is>
      </c>
      <c r="I56" s="20" t="inlineStr">
        <is>
          <t>MUR-MI</t>
        </is>
      </c>
      <c r="J56" s="20" t="n">
        <v>92.791</v>
      </c>
      <c r="K56" s="20" t="inlineStr">
        <is>
          <t>No iniciado</t>
        </is>
      </c>
    </row>
    <row r="57">
      <c r="A57" s="20" t="n">
        <v>1092440</v>
      </c>
      <c r="B57" s="20" t="inlineStr">
        <is>
          <t>2MRnbnEx980x5CFH3m8sxX</t>
        </is>
      </c>
      <c r="C57" s="20" t="inlineStr">
        <is>
          <t>SLAB</t>
        </is>
      </c>
      <c r="D57" s="20" t="inlineStr">
        <is>
          <t>Estribos_Pilote:Pilote_D1500_H38000_fc280:495196</t>
        </is>
      </c>
      <c r="E57" s="20" t="inlineStr">
        <is>
          <t>ED-P1</t>
        </is>
      </c>
      <c r="F57" s="20" t="inlineStr">
        <is>
          <t>PruebaCargaBidirecional</t>
        </is>
      </c>
      <c r="G57" s="20" t="inlineStr">
        <is>
          <t>Margen Derecha</t>
        </is>
      </c>
      <c r="H57" s="20" t="inlineStr">
        <is>
          <t>Pilote Prueba</t>
        </is>
      </c>
      <c r="I57" s="20" t="inlineStr">
        <is>
          <t>PCB-MD</t>
        </is>
      </c>
      <c r="J57" s="20" t="n">
        <v>67.152</v>
      </c>
      <c r="K57" s="20" t="inlineStr">
        <is>
          <t>Ejecutado</t>
        </is>
      </c>
    </row>
    <row r="58">
      <c r="A58" s="20" t="n">
        <v>1804763</v>
      </c>
      <c r="B58" s="20" t="inlineStr">
        <is>
          <t>34wcEtjQf6Ye8XltIuUohc</t>
        </is>
      </c>
      <c r="C58" s="20" t="inlineStr">
        <is>
          <t>BUILDINGELEMENTPROXY</t>
        </is>
      </c>
      <c r="D58" s="20" t="inlineStr">
        <is>
          <t>Rev 01 OSTERBERG CELL:Prueba Osterberg Cell Pte Charanal:823305</t>
        </is>
      </c>
      <c r="E58" s="20" t="n"/>
      <c r="F58" s="20" t="inlineStr">
        <is>
          <t>PruebaCargaBidirecional</t>
        </is>
      </c>
      <c r="G58" s="20" t="inlineStr">
        <is>
          <t>Margen Derecha</t>
        </is>
      </c>
      <c r="H58" s="20" t="inlineStr">
        <is>
          <t>Celda</t>
        </is>
      </c>
      <c r="I58" s="20" t="inlineStr">
        <is>
          <t>PCB-MD</t>
        </is>
      </c>
      <c r="J58" s="20" t="n">
        <v>0.175</v>
      </c>
      <c r="K58" s="20" t="inlineStr">
        <is>
          <t>Ejecutado</t>
        </is>
      </c>
    </row>
    <row r="59">
      <c r="A59" s="20" t="n">
        <v>2030600</v>
      </c>
      <c r="B59" s="20" t="inlineStr">
        <is>
          <t>0hdRnFtwTElgX914EGMZQ9</t>
        </is>
      </c>
      <c r="C59" s="20" t="inlineStr">
        <is>
          <t>BUILDINGELEMENTPROXY</t>
        </is>
      </c>
      <c r="D59" s="20" t="inlineStr">
        <is>
          <t>Perfil-L:L100 x 100 x12 mm:1480775</t>
        </is>
      </c>
      <c r="E59" s="20" t="n"/>
      <c r="F59" s="20" t="inlineStr">
        <is>
          <t>PruebaCargaBidirecional</t>
        </is>
      </c>
      <c r="G59" s="20" t="inlineStr">
        <is>
          <t>Margen Derecha</t>
        </is>
      </c>
      <c r="H59" s="20" t="n"/>
      <c r="I59" s="20" t="inlineStr">
        <is>
          <t>PCB-MD</t>
        </is>
      </c>
      <c r="J59" s="20" t="n">
        <v>0.001</v>
      </c>
      <c r="K59" s="20" t="inlineStr">
        <is>
          <t>Ejecutado</t>
        </is>
      </c>
    </row>
    <row r="60">
      <c r="A60" s="20" t="n">
        <v>2030667</v>
      </c>
      <c r="B60" s="20" t="inlineStr">
        <is>
          <t>0hdRnFtwTElgX914EGMZQ6</t>
        </is>
      </c>
      <c r="C60" s="20" t="inlineStr">
        <is>
          <t>BUILDINGELEMENTPROXY</t>
        </is>
      </c>
      <c r="D60" s="20" t="inlineStr">
        <is>
          <t>Perfil-L:L100 x 100 x12 mm:1480776</t>
        </is>
      </c>
      <c r="E60" s="20" t="n"/>
      <c r="F60" s="20" t="inlineStr">
        <is>
          <t>PruebaCargaBidirecional</t>
        </is>
      </c>
      <c r="G60" s="20" t="inlineStr">
        <is>
          <t>Margen Derecha</t>
        </is>
      </c>
      <c r="H60" s="20" t="n"/>
      <c r="I60" s="20" t="inlineStr">
        <is>
          <t>PCB-MD</t>
        </is>
      </c>
      <c r="J60" s="20" t="n">
        <v>0.001</v>
      </c>
      <c r="K60" s="20" t="inlineStr">
        <is>
          <t>Ejecutado</t>
        </is>
      </c>
    </row>
    <row r="61">
      <c r="A61" s="20" t="n">
        <v>2030690</v>
      </c>
      <c r="B61" s="20" t="inlineStr">
        <is>
          <t>0hdRnFtwTElgX914EGMZQ7</t>
        </is>
      </c>
      <c r="C61" s="20" t="inlineStr">
        <is>
          <t>BUILDINGELEMENTPROXY</t>
        </is>
      </c>
      <c r="D61" s="20" t="inlineStr">
        <is>
          <t>Perfil-L:L100 x 100 x12 mm:1480777</t>
        </is>
      </c>
      <c r="E61" s="20" t="n"/>
      <c r="F61" s="20" t="inlineStr">
        <is>
          <t>PruebaCargaBidirecional</t>
        </is>
      </c>
      <c r="G61" s="20" t="inlineStr">
        <is>
          <t>Margen Derecha</t>
        </is>
      </c>
      <c r="H61" s="20" t="n"/>
      <c r="I61" s="20" t="inlineStr">
        <is>
          <t>PCB-MD</t>
        </is>
      </c>
      <c r="J61" s="20" t="n">
        <v>0.001</v>
      </c>
      <c r="K61" s="20" t="inlineStr">
        <is>
          <t>Ejecutado</t>
        </is>
      </c>
    </row>
    <row r="62">
      <c r="A62" s="20" t="n">
        <v>2030713</v>
      </c>
      <c r="B62" s="20" t="inlineStr">
        <is>
          <t>0hdRnFtwTElgX914EGMZQ4</t>
        </is>
      </c>
      <c r="C62" s="20" t="inlineStr">
        <is>
          <t>BUILDINGELEMENTPROXY</t>
        </is>
      </c>
      <c r="D62" s="20" t="inlineStr">
        <is>
          <t>Perfil-L:L100 x 100 x12 mm:1480778</t>
        </is>
      </c>
      <c r="E62" s="20" t="n"/>
      <c r="F62" s="20" t="inlineStr">
        <is>
          <t>PruebaCargaBidirecional</t>
        </is>
      </c>
      <c r="G62" s="20" t="inlineStr">
        <is>
          <t>Margen Derecha</t>
        </is>
      </c>
      <c r="H62" s="20" t="n"/>
      <c r="I62" s="20" t="inlineStr">
        <is>
          <t>PCB-MD</t>
        </is>
      </c>
      <c r="J62" s="20" t="n">
        <v>0.001</v>
      </c>
      <c r="K62" s="20" t="inlineStr">
        <is>
          <t>Ejecutado</t>
        </is>
      </c>
    </row>
    <row r="63">
      <c r="A63" s="20" t="n">
        <v>1121167</v>
      </c>
      <c r="B63" s="20" t="inlineStr">
        <is>
          <t>2MRnbnEx980x5CFH3m8syE</t>
        </is>
      </c>
      <c r="C63" s="20" t="inlineStr">
        <is>
          <t>SLAB</t>
        </is>
      </c>
      <c r="D63" s="20" t="inlineStr">
        <is>
          <t>Estribos_Pilote:Pilote_D1500_H30000_fc280:495539</t>
        </is>
      </c>
      <c r="E63" s="20" t="inlineStr">
        <is>
          <t>EI-P6</t>
        </is>
      </c>
      <c r="F63" s="20" t="inlineStr">
        <is>
          <t>PruebaCargaBidirecional</t>
        </is>
      </c>
      <c r="G63" s="20" t="inlineStr">
        <is>
          <t>Margen Izquierda</t>
        </is>
      </c>
      <c r="H63" s="20" t="inlineStr">
        <is>
          <t>Pilote Prueba</t>
        </is>
      </c>
      <c r="I63" s="20" t="inlineStr">
        <is>
          <t>PCB-MI</t>
        </is>
      </c>
      <c r="J63" s="20" t="n">
        <v>53.014</v>
      </c>
      <c r="K63" s="20" t="inlineStr">
        <is>
          <t>Ejecutado</t>
        </is>
      </c>
    </row>
    <row r="64">
      <c r="A64" s="20" t="n">
        <v>1805093</v>
      </c>
      <c r="B64" s="20" t="inlineStr">
        <is>
          <t>01K3fo5sz34Qg9N96cXnf$</t>
        </is>
      </c>
      <c r="C64" s="20" t="inlineStr">
        <is>
          <t>BUILDINGELEMENTPROXY</t>
        </is>
      </c>
      <c r="D64" s="20" t="inlineStr">
        <is>
          <t>Rev 01 OSTERBERG CELL:Prueba Osterberg Cell Pte Charanal:828437</t>
        </is>
      </c>
      <c r="E64" s="20" t="n"/>
      <c r="F64" s="20" t="inlineStr">
        <is>
          <t>PruebaCargaBidirecional</t>
        </is>
      </c>
      <c r="G64" s="20" t="inlineStr">
        <is>
          <t>Margen Izquierda</t>
        </is>
      </c>
      <c r="H64" s="20" t="inlineStr">
        <is>
          <t>Celda</t>
        </is>
      </c>
      <c r="I64" s="20" t="inlineStr">
        <is>
          <t>PCB-MI</t>
        </is>
      </c>
      <c r="J64" s="20" t="n">
        <v>0.175</v>
      </c>
      <c r="K64" s="20" t="inlineStr">
        <is>
          <t>Ejecutado</t>
        </is>
      </c>
    </row>
    <row r="65">
      <c r="A65" s="20" t="n">
        <v>1805954</v>
      </c>
      <c r="B65" s="20" t="inlineStr">
        <is>
          <t>0tK5P9_In9MPVhOKuzcJKC</t>
        </is>
      </c>
      <c r="C65" s="20" t="inlineStr">
        <is>
          <t>BUILDINGELEMENTPROXY</t>
        </is>
      </c>
      <c r="D65" s="20" t="inlineStr">
        <is>
          <t>Perfil-L:L100 x 100 x12 mm:885838</t>
        </is>
      </c>
      <c r="E65" s="20" t="n"/>
      <c r="F65" s="20" t="inlineStr">
        <is>
          <t>PruebaCargaBidirecional</t>
        </is>
      </c>
      <c r="G65" s="20" t="inlineStr">
        <is>
          <t>Margen Izquierda</t>
        </is>
      </c>
      <c r="H65" s="20" t="n"/>
      <c r="I65" s="20" t="inlineStr">
        <is>
          <t>PCB-MI</t>
        </is>
      </c>
      <c r="J65" s="20" t="n">
        <v>0.001</v>
      </c>
      <c r="K65" s="20" t="inlineStr">
        <is>
          <t>Ejecutado</t>
        </is>
      </c>
    </row>
    <row r="66">
      <c r="A66" s="20" t="n">
        <v>1806042</v>
      </c>
      <c r="B66" s="20" t="inlineStr">
        <is>
          <t>0tK5P9_In9MPVhOKuzcJKy</t>
        </is>
      </c>
      <c r="C66" s="20" t="inlineStr">
        <is>
          <t>BUILDINGELEMENTPROXY</t>
        </is>
      </c>
      <c r="D66" s="20" t="inlineStr">
        <is>
          <t>Perfil-L:L100 x 100 x12 mm:885886</t>
        </is>
      </c>
      <c r="E66" s="20" t="n"/>
      <c r="F66" s="20" t="inlineStr">
        <is>
          <t>PruebaCargaBidirecional</t>
        </is>
      </c>
      <c r="G66" s="20" t="inlineStr">
        <is>
          <t>Margen Izquierda</t>
        </is>
      </c>
      <c r="H66" s="20" t="n"/>
      <c r="I66" s="20" t="inlineStr">
        <is>
          <t>PCB-MI</t>
        </is>
      </c>
      <c r="J66" s="20" t="n">
        <v>0.001</v>
      </c>
      <c r="K66" s="20" t="inlineStr">
        <is>
          <t>Ejecutado</t>
        </is>
      </c>
    </row>
    <row r="67">
      <c r="A67" s="20" t="n">
        <v>1806065</v>
      </c>
      <c r="B67" s="20" t="inlineStr">
        <is>
          <t>0tK5P9_In9MPVhOKuzcJND</t>
        </is>
      </c>
      <c r="C67" s="20" t="inlineStr">
        <is>
          <t>BUILDINGELEMENTPROXY</t>
        </is>
      </c>
      <c r="D67" s="20" t="inlineStr">
        <is>
          <t>Perfil-L:L100 x 100 x12 mm:885903</t>
        </is>
      </c>
      <c r="E67" s="20" t="n"/>
      <c r="F67" s="20" t="inlineStr">
        <is>
          <t>PruebaCargaBidirecional</t>
        </is>
      </c>
      <c r="G67" s="20" t="inlineStr">
        <is>
          <t>Margen Izquierda</t>
        </is>
      </c>
      <c r="H67" s="20" t="n"/>
      <c r="I67" s="20" t="inlineStr">
        <is>
          <t>PCB-MI</t>
        </is>
      </c>
      <c r="J67" s="20" t="n">
        <v>0.001</v>
      </c>
      <c r="K67" s="20" t="inlineStr">
        <is>
          <t>Ejecutado</t>
        </is>
      </c>
    </row>
    <row r="68">
      <c r="A68" s="20" t="n">
        <v>1806088</v>
      </c>
      <c r="B68" s="20" t="inlineStr">
        <is>
          <t>0tK5P9_In9MPVhOKuzcJNI</t>
        </is>
      </c>
      <c r="C68" s="20" t="inlineStr">
        <is>
          <t>BUILDINGELEMENTPROXY</t>
        </is>
      </c>
      <c r="D68" s="20" t="inlineStr">
        <is>
          <t>Perfil-L:L100 x 100 x12 mm:885904</t>
        </is>
      </c>
      <c r="E68" s="20" t="n"/>
      <c r="F68" s="20" t="inlineStr">
        <is>
          <t>PruebaCargaBidirecional</t>
        </is>
      </c>
      <c r="G68" s="20" t="inlineStr">
        <is>
          <t>Margen Izquierda</t>
        </is>
      </c>
      <c r="H68" s="20" t="n"/>
      <c r="I68" s="20" t="inlineStr">
        <is>
          <t>PCB-MI</t>
        </is>
      </c>
      <c r="J68" s="20" t="n">
        <v>0.001</v>
      </c>
      <c r="K68" s="20" t="inlineStr">
        <is>
          <t>Ejecutado</t>
        </is>
      </c>
    </row>
    <row r="69">
      <c r="A69" s="20" t="n">
        <v>2591757</v>
      </c>
      <c r="B69" s="20" t="inlineStr">
        <is>
          <t>2EX5RRHjzFzQ4E8Bg_etda</t>
        </is>
      </c>
      <c r="C69" s="20" t="inlineStr">
        <is>
          <t>PLATE</t>
        </is>
      </c>
      <c r="D69" s="20" t="inlineStr">
        <is>
          <t>-</t>
        </is>
      </c>
      <c r="E69" s="20" t="n"/>
      <c r="F69" s="20" t="inlineStr">
        <is>
          <t>PruebaCargaBidirecional</t>
        </is>
      </c>
      <c r="G69" s="20" t="inlineStr">
        <is>
          <t>Margen Izquierda</t>
        </is>
      </c>
      <c r="H69" s="20" t="n"/>
      <c r="I69" s="20" t="inlineStr">
        <is>
          <t>PCB-MI</t>
        </is>
      </c>
      <c r="J69" s="20" t="n"/>
      <c r="K69" s="20" t="inlineStr">
        <is>
          <t>Ejecutado</t>
        </is>
      </c>
    </row>
    <row r="70">
      <c r="A70" s="20" t="n">
        <v>2591798</v>
      </c>
      <c r="B70" s="20" t="inlineStr">
        <is>
          <t>12puzZTzn7mRvF5ZOZCLUr</t>
        </is>
      </c>
      <c r="C70" s="20" t="inlineStr">
        <is>
          <t>PLATE</t>
        </is>
      </c>
      <c r="D70" s="20" t="inlineStr">
        <is>
          <t>-</t>
        </is>
      </c>
      <c r="E70" s="20" t="n"/>
      <c r="F70" s="20" t="inlineStr">
        <is>
          <t>PruebaCargaBidirecional</t>
        </is>
      </c>
      <c r="G70" s="20" t="inlineStr">
        <is>
          <t>Margen Izquierda</t>
        </is>
      </c>
      <c r="H70" s="20" t="n"/>
      <c r="I70" s="20" t="inlineStr">
        <is>
          <t>PCB-MI</t>
        </is>
      </c>
      <c r="J70" s="20" t="n"/>
      <c r="K70" s="20" t="inlineStr">
        <is>
          <t>Ejecutado</t>
        </is>
      </c>
    </row>
    <row r="71">
      <c r="A71" s="20" t="n">
        <v>2591835</v>
      </c>
      <c r="B71" s="20" t="inlineStr">
        <is>
          <t>1h5r2fxDvBdhN93fEz8IAS</t>
        </is>
      </c>
      <c r="C71" s="20" t="inlineStr">
        <is>
          <t>PLATE</t>
        </is>
      </c>
      <c r="D71" s="20" t="inlineStr">
        <is>
          <t>-</t>
        </is>
      </c>
      <c r="E71" s="20" t="n"/>
      <c r="F71" s="20" t="inlineStr">
        <is>
          <t>PruebaCargaBidirecional</t>
        </is>
      </c>
      <c r="G71" s="20" t="inlineStr">
        <is>
          <t>Margen Izquierda</t>
        </is>
      </c>
      <c r="H71" s="20" t="n"/>
      <c r="I71" s="20" t="inlineStr">
        <is>
          <t>PCB-MI</t>
        </is>
      </c>
      <c r="J71" s="20" t="n"/>
      <c r="K71" s="20" t="inlineStr">
        <is>
          <t>Ejecutado</t>
        </is>
      </c>
    </row>
    <row r="72">
      <c r="A72" s="20" t="n">
        <v>2591872</v>
      </c>
      <c r="B72" s="20" t="inlineStr">
        <is>
          <t>2bUfQInCv6DBEb52VGOadL</t>
        </is>
      </c>
      <c r="C72" s="20" t="inlineStr">
        <is>
          <t>PLATE</t>
        </is>
      </c>
      <c r="D72" s="20" t="inlineStr">
        <is>
          <t>-</t>
        </is>
      </c>
      <c r="E72" s="20" t="n"/>
      <c r="F72" s="20" t="inlineStr">
        <is>
          <t>PruebaCargaBidirecional</t>
        </is>
      </c>
      <c r="G72" s="20" t="inlineStr">
        <is>
          <t>Margen Izquierda</t>
        </is>
      </c>
      <c r="H72" s="20" t="n"/>
      <c r="I72" s="20" t="inlineStr">
        <is>
          <t>PCB-MI</t>
        </is>
      </c>
      <c r="J72" s="20" t="n"/>
      <c r="K72" s="20" t="inlineStr">
        <is>
          <t>Ejecutado</t>
        </is>
      </c>
    </row>
    <row r="73">
      <c r="A73" s="20" t="n">
        <v>2591909</v>
      </c>
      <c r="B73" s="20" t="inlineStr">
        <is>
          <t>1VY5Cgvkf0YQMW73McE7IB</t>
        </is>
      </c>
      <c r="C73" s="20" t="inlineStr">
        <is>
          <t>PLATE</t>
        </is>
      </c>
      <c r="D73" s="20" t="inlineStr">
        <is>
          <t>-</t>
        </is>
      </c>
      <c r="E73" s="20" t="n"/>
      <c r="F73" s="20" t="inlineStr">
        <is>
          <t>PruebaCargaBidirecional</t>
        </is>
      </c>
      <c r="G73" s="20" t="inlineStr">
        <is>
          <t>Margen Izquierda</t>
        </is>
      </c>
      <c r="H73" s="20" t="n"/>
      <c r="I73" s="20" t="inlineStr">
        <is>
          <t>PCB-MI</t>
        </is>
      </c>
      <c r="J73" s="20" t="n"/>
      <c r="K73" s="20" t="inlineStr">
        <is>
          <t>Ejecutado</t>
        </is>
      </c>
    </row>
    <row r="74">
      <c r="A74" s="20" t="n">
        <v>2591946</v>
      </c>
      <c r="B74" s="20" t="inlineStr">
        <is>
          <t>1MSOavZ7fCWgRrIlzD1z4E</t>
        </is>
      </c>
      <c r="C74" s="20" t="inlineStr">
        <is>
          <t>PLATE</t>
        </is>
      </c>
      <c r="D74" s="20" t="inlineStr">
        <is>
          <t>-</t>
        </is>
      </c>
      <c r="E74" s="20" t="n"/>
      <c r="F74" s="20" t="inlineStr">
        <is>
          <t>PruebaCargaBidirecional</t>
        </is>
      </c>
      <c r="G74" s="20" t="inlineStr">
        <is>
          <t>Margen Izquierda</t>
        </is>
      </c>
      <c r="H74" s="20" t="n"/>
      <c r="I74" s="20" t="inlineStr">
        <is>
          <t>PCB-MI</t>
        </is>
      </c>
      <c r="J74" s="20" t="n"/>
      <c r="K74" s="20" t="inlineStr">
        <is>
          <t>Ejecutado</t>
        </is>
      </c>
    </row>
    <row r="75">
      <c r="A75" s="20" t="n">
        <v>2591983</v>
      </c>
      <c r="B75" s="20" t="inlineStr">
        <is>
          <t>21k0ieLaPCyeoToh9JNss3</t>
        </is>
      </c>
      <c r="C75" s="20" t="inlineStr">
        <is>
          <t>PLATE</t>
        </is>
      </c>
      <c r="D75" s="20" t="inlineStr">
        <is>
          <t>-</t>
        </is>
      </c>
      <c r="E75" s="20" t="n"/>
      <c r="F75" s="20" t="inlineStr">
        <is>
          <t>PruebaCargaBidirecional</t>
        </is>
      </c>
      <c r="G75" s="20" t="inlineStr">
        <is>
          <t>Margen Izquierda</t>
        </is>
      </c>
      <c r="H75" s="20" t="n"/>
      <c r="I75" s="20" t="inlineStr">
        <is>
          <t>PCB-MI</t>
        </is>
      </c>
      <c r="J75" s="20" t="n"/>
      <c r="K75" s="20" t="inlineStr">
        <is>
          <t>Ejecutado</t>
        </is>
      </c>
    </row>
    <row r="76">
      <c r="A76" s="20" t="n">
        <v>2592020</v>
      </c>
      <c r="B76" s="20" t="inlineStr">
        <is>
          <t>2kwBPCpirDh8GceUd$EQAw</t>
        </is>
      </c>
      <c r="C76" s="20" t="inlineStr">
        <is>
          <t>PLATE</t>
        </is>
      </c>
      <c r="D76" s="20" t="inlineStr">
        <is>
          <t>-</t>
        </is>
      </c>
      <c r="E76" s="20" t="n"/>
      <c r="F76" s="20" t="inlineStr">
        <is>
          <t>PruebaCargaBidirecional</t>
        </is>
      </c>
      <c r="G76" s="20" t="inlineStr">
        <is>
          <t>Margen Izquierda</t>
        </is>
      </c>
      <c r="H76" s="20" t="n"/>
      <c r="I76" s="20" t="inlineStr">
        <is>
          <t>PCB-MI</t>
        </is>
      </c>
      <c r="J76" s="20" t="n"/>
      <c r="K76" s="20" t="inlineStr">
        <is>
          <t>Ejecutado</t>
        </is>
      </c>
    </row>
    <row r="77">
      <c r="A77" s="20" t="n">
        <v>2592057</v>
      </c>
      <c r="B77" s="20" t="inlineStr">
        <is>
          <t>2pDwkKBOjAkeCztQPY_e$j</t>
        </is>
      </c>
      <c r="C77" s="20" t="inlineStr">
        <is>
          <t>PLATE</t>
        </is>
      </c>
      <c r="D77" s="20" t="inlineStr">
        <is>
          <t>-</t>
        </is>
      </c>
      <c r="E77" s="20" t="n"/>
      <c r="F77" s="20" t="inlineStr">
        <is>
          <t>PruebaCargaBidirecional</t>
        </is>
      </c>
      <c r="G77" s="20" t="inlineStr">
        <is>
          <t>Margen Izquierda</t>
        </is>
      </c>
      <c r="H77" s="20" t="n"/>
      <c r="I77" s="20" t="inlineStr">
        <is>
          <t>PCB-MI</t>
        </is>
      </c>
      <c r="J77" s="20" t="n"/>
      <c r="K77" s="20" t="inlineStr">
        <is>
          <t>Ejecutado</t>
        </is>
      </c>
    </row>
    <row r="78">
      <c r="A78" s="20" t="n">
        <v>2592094</v>
      </c>
      <c r="B78" s="20" t="inlineStr">
        <is>
          <t>3yQQnbufn7Zx5y73j7jIKB</t>
        </is>
      </c>
      <c r="C78" s="20" t="inlineStr">
        <is>
          <t>PLATE</t>
        </is>
      </c>
      <c r="D78" s="20" t="inlineStr">
        <is>
          <t>-</t>
        </is>
      </c>
      <c r="E78" s="20" t="n"/>
      <c r="F78" s="20" t="inlineStr">
        <is>
          <t>PruebaCargaBidirecional</t>
        </is>
      </c>
      <c r="G78" s="20" t="inlineStr">
        <is>
          <t>Margen Izquierda</t>
        </is>
      </c>
      <c r="H78" s="20" t="n"/>
      <c r="I78" s="20" t="inlineStr">
        <is>
          <t>PCB-MI</t>
        </is>
      </c>
      <c r="J78" s="20" t="n"/>
      <c r="K78" s="20" t="inlineStr">
        <is>
          <t>Ejecutado</t>
        </is>
      </c>
    </row>
    <row r="79">
      <c r="A79" s="20" t="n">
        <v>2592131</v>
      </c>
      <c r="B79" s="20" t="inlineStr">
        <is>
          <t>3irtxBifv5mPCs_$3cEHTo</t>
        </is>
      </c>
      <c r="C79" s="20" t="inlineStr">
        <is>
          <t>PLATE</t>
        </is>
      </c>
      <c r="D79" s="20" t="inlineStr">
        <is>
          <t>-</t>
        </is>
      </c>
      <c r="E79" s="20" t="n"/>
      <c r="F79" s="20" t="inlineStr">
        <is>
          <t>PruebaCargaBidirecional</t>
        </is>
      </c>
      <c r="G79" s="20" t="inlineStr">
        <is>
          <t>Margen Izquierda</t>
        </is>
      </c>
      <c r="H79" s="20" t="n"/>
      <c r="I79" s="20" t="inlineStr">
        <is>
          <t>PCB-MI</t>
        </is>
      </c>
      <c r="J79" s="20" t="n"/>
      <c r="K79" s="20" t="inlineStr">
        <is>
          <t>Ejecutado</t>
        </is>
      </c>
    </row>
    <row r="80">
      <c r="A80" s="20" t="n">
        <v>2592168</v>
      </c>
      <c r="B80" s="20" t="inlineStr">
        <is>
          <t>0Ffy07Q49B6xvRK6j4$O4f</t>
        </is>
      </c>
      <c r="C80" s="20" t="inlineStr">
        <is>
          <t>PLATE</t>
        </is>
      </c>
      <c r="D80" s="20" t="inlineStr">
        <is>
          <t>-</t>
        </is>
      </c>
      <c r="E80" s="20" t="n"/>
      <c r="F80" s="20" t="inlineStr">
        <is>
          <t>PruebaCargaBidirecional</t>
        </is>
      </c>
      <c r="G80" s="20" t="inlineStr">
        <is>
          <t>Margen Izquierda</t>
        </is>
      </c>
      <c r="H80" s="20" t="n"/>
      <c r="I80" s="20" t="inlineStr">
        <is>
          <t>PCB-MI</t>
        </is>
      </c>
      <c r="J80" s="20" t="n"/>
      <c r="K80" s="20" t="inlineStr">
        <is>
          <t>Ejecutado</t>
        </is>
      </c>
    </row>
    <row r="81">
      <c r="A81" s="20" t="n">
        <v>2592205</v>
      </c>
      <c r="B81" s="20" t="inlineStr">
        <is>
          <t>1mTCldVgjARvd2k6UjzW2y</t>
        </is>
      </c>
      <c r="C81" s="20" t="inlineStr">
        <is>
          <t>PLATE</t>
        </is>
      </c>
      <c r="D81" s="20" t="inlineStr">
        <is>
          <t>-</t>
        </is>
      </c>
      <c r="E81" s="20" t="n"/>
      <c r="F81" s="20" t="inlineStr">
        <is>
          <t>PruebaCargaBidirecional</t>
        </is>
      </c>
      <c r="G81" s="20" t="inlineStr">
        <is>
          <t>Margen Izquierda</t>
        </is>
      </c>
      <c r="H81" s="20" t="n"/>
      <c r="I81" s="20" t="inlineStr">
        <is>
          <t>PCB-MI</t>
        </is>
      </c>
      <c r="J81" s="20" t="n"/>
      <c r="K81" s="20" t="inlineStr">
        <is>
          <t>Ejecutado</t>
        </is>
      </c>
    </row>
    <row r="82">
      <c r="A82" s="20" t="n">
        <v>2592242</v>
      </c>
      <c r="B82" s="20" t="inlineStr">
        <is>
          <t>0vDmMKnzDEB8UrJwQCbde_</t>
        </is>
      </c>
      <c r="C82" s="20" t="inlineStr">
        <is>
          <t>PLATE</t>
        </is>
      </c>
      <c r="D82" s="20" t="inlineStr">
        <is>
          <t>-</t>
        </is>
      </c>
      <c r="E82" s="20" t="n"/>
      <c r="F82" s="20" t="inlineStr">
        <is>
          <t>PruebaCargaBidirecional</t>
        </is>
      </c>
      <c r="G82" s="20" t="inlineStr">
        <is>
          <t>Margen Izquierda</t>
        </is>
      </c>
      <c r="H82" s="20" t="n"/>
      <c r="I82" s="20" t="inlineStr">
        <is>
          <t>PCB-MI</t>
        </is>
      </c>
      <c r="J82" s="20" t="n"/>
      <c r="K82" s="20" t="inlineStr">
        <is>
          <t>Ejecutado</t>
        </is>
      </c>
    </row>
    <row r="83">
      <c r="A83" s="20" t="n">
        <v>2592279</v>
      </c>
      <c r="B83" s="20" t="inlineStr">
        <is>
          <t>2R2SYwbzbErezh1hyDnbvP</t>
        </is>
      </c>
      <c r="C83" s="20" t="inlineStr">
        <is>
          <t>PLATE</t>
        </is>
      </c>
      <c r="D83" s="20" t="inlineStr">
        <is>
          <t>-</t>
        </is>
      </c>
      <c r="E83" s="20" t="n"/>
      <c r="F83" s="20" t="inlineStr">
        <is>
          <t>PruebaCargaBidirecional</t>
        </is>
      </c>
      <c r="G83" s="20" t="inlineStr">
        <is>
          <t>Margen Izquierda</t>
        </is>
      </c>
      <c r="H83" s="20" t="n"/>
      <c r="I83" s="20" t="inlineStr">
        <is>
          <t>PCB-MI</t>
        </is>
      </c>
      <c r="J83" s="20" t="n"/>
      <c r="K83" s="20" t="inlineStr">
        <is>
          <t>Ejecutado</t>
        </is>
      </c>
    </row>
    <row r="84">
      <c r="A84" s="20" t="n">
        <v>2592316</v>
      </c>
      <c r="B84" s="20" t="inlineStr">
        <is>
          <t>3RJSEm88v5j9Q6lLl$GzpF</t>
        </is>
      </c>
      <c r="C84" s="20" t="inlineStr">
        <is>
          <t>PLATE</t>
        </is>
      </c>
      <c r="D84" s="20" t="inlineStr">
        <is>
          <t>-</t>
        </is>
      </c>
      <c r="E84" s="20" t="n"/>
      <c r="F84" s="20" t="inlineStr">
        <is>
          <t>PruebaCargaBidirecional</t>
        </is>
      </c>
      <c r="G84" s="20" t="inlineStr">
        <is>
          <t>Margen Izquierda</t>
        </is>
      </c>
      <c r="H84" s="20" t="n"/>
      <c r="I84" s="20" t="inlineStr">
        <is>
          <t>PCB-MI</t>
        </is>
      </c>
      <c r="J84" s="20" t="n"/>
      <c r="K84" s="20" t="inlineStr">
        <is>
          <t>Ejecutado</t>
        </is>
      </c>
    </row>
    <row r="85">
      <c r="A85" s="20" t="n">
        <v>2592353</v>
      </c>
      <c r="B85" s="20" t="inlineStr">
        <is>
          <t>1ixvoegTv4MOfzWgILKkKb</t>
        </is>
      </c>
      <c r="C85" s="20" t="inlineStr">
        <is>
          <t>PLATE</t>
        </is>
      </c>
      <c r="D85" s="20" t="inlineStr">
        <is>
          <t>-</t>
        </is>
      </c>
      <c r="E85" s="20" t="n"/>
      <c r="F85" s="20" t="inlineStr">
        <is>
          <t>PruebaCargaBidirecional</t>
        </is>
      </c>
      <c r="G85" s="20" t="inlineStr">
        <is>
          <t>Margen Izquierda</t>
        </is>
      </c>
      <c r="H85" s="20" t="n"/>
      <c r="I85" s="20" t="inlineStr">
        <is>
          <t>PCB-MI</t>
        </is>
      </c>
      <c r="J85" s="20" t="n"/>
      <c r="K85" s="20" t="inlineStr">
        <is>
          <t>Ejecutado</t>
        </is>
      </c>
    </row>
    <row r="86">
      <c r="A86" s="20" t="n">
        <v>2592390</v>
      </c>
      <c r="B86" s="20" t="inlineStr">
        <is>
          <t>2T5Q3Tssb8$hGojB_uTajQ</t>
        </is>
      </c>
      <c r="C86" s="20" t="inlineStr">
        <is>
          <t>PLATE</t>
        </is>
      </c>
      <c r="D86" s="20" t="inlineStr">
        <is>
          <t>-</t>
        </is>
      </c>
      <c r="E86" s="20" t="n"/>
      <c r="F86" s="20" t="inlineStr">
        <is>
          <t>PruebaCargaBidirecional</t>
        </is>
      </c>
      <c r="G86" s="20" t="inlineStr">
        <is>
          <t>Margen Izquierda</t>
        </is>
      </c>
      <c r="H86" s="20" t="n"/>
      <c r="I86" s="20" t="inlineStr">
        <is>
          <t>PCB-MI</t>
        </is>
      </c>
      <c r="J86" s="20" t="n"/>
      <c r="K86" s="20" t="inlineStr">
        <is>
          <t>Ejecutado</t>
        </is>
      </c>
    </row>
    <row r="87">
      <c r="A87" s="20" t="n">
        <v>2592427</v>
      </c>
      <c r="B87" s="20" t="inlineStr">
        <is>
          <t>2M3Nk7T4v6GwdD5ifm5p_t</t>
        </is>
      </c>
      <c r="C87" s="20" t="inlineStr">
        <is>
          <t>PLATE</t>
        </is>
      </c>
      <c r="D87" s="20" t="inlineStr">
        <is>
          <t>-</t>
        </is>
      </c>
      <c r="E87" s="20" t="n"/>
      <c r="F87" s="20" t="inlineStr">
        <is>
          <t>PruebaCargaBidirecional</t>
        </is>
      </c>
      <c r="G87" s="20" t="inlineStr">
        <is>
          <t>Margen Izquierda</t>
        </is>
      </c>
      <c r="H87" s="20" t="n"/>
      <c r="I87" s="20" t="inlineStr">
        <is>
          <t>PCB-MI</t>
        </is>
      </c>
      <c r="J87" s="20" t="n"/>
      <c r="K87" s="20" t="inlineStr">
        <is>
          <t>Ejecutado</t>
        </is>
      </c>
    </row>
    <row r="88">
      <c r="A88" s="20" t="n">
        <v>2592464</v>
      </c>
      <c r="B88" s="20" t="inlineStr">
        <is>
          <t>3NpkBbu15BzQJf04Eeiui4</t>
        </is>
      </c>
      <c r="C88" s="20" t="inlineStr">
        <is>
          <t>PLATE</t>
        </is>
      </c>
      <c r="D88" s="20" t="inlineStr">
        <is>
          <t>-</t>
        </is>
      </c>
      <c r="E88" s="20" t="n"/>
      <c r="F88" s="20" t="inlineStr">
        <is>
          <t>PruebaCargaBidirecional</t>
        </is>
      </c>
      <c r="G88" s="20" t="inlineStr">
        <is>
          <t>Margen Izquierda</t>
        </is>
      </c>
      <c r="H88" s="20" t="n"/>
      <c r="I88" s="20" t="inlineStr">
        <is>
          <t>PCB-MI</t>
        </is>
      </c>
      <c r="J88" s="20" t="n"/>
      <c r="K88" s="20" t="inlineStr">
        <is>
          <t>Ejecutado</t>
        </is>
      </c>
    </row>
    <row r="89">
      <c r="A89" s="20" t="n">
        <v>2592501</v>
      </c>
      <c r="B89" s="20" t="inlineStr">
        <is>
          <t>0Ak20TMIz2qxNXx3rcJx7O</t>
        </is>
      </c>
      <c r="C89" s="20" t="inlineStr">
        <is>
          <t>PLATE</t>
        </is>
      </c>
      <c r="D89" s="20" t="inlineStr">
        <is>
          <t>-</t>
        </is>
      </c>
      <c r="E89" s="20" t="n"/>
      <c r="F89" s="20" t="inlineStr">
        <is>
          <t>PruebaCargaBidirecional</t>
        </is>
      </c>
      <c r="G89" s="20" t="inlineStr">
        <is>
          <t>Margen Izquierda</t>
        </is>
      </c>
      <c r="H89" s="20" t="n"/>
      <c r="I89" s="20" t="inlineStr">
        <is>
          <t>PCB-MI</t>
        </is>
      </c>
      <c r="J89" s="20" t="n"/>
      <c r="K89" s="20" t="inlineStr">
        <is>
          <t>Ejecutado</t>
        </is>
      </c>
    </row>
    <row r="90">
      <c r="A90" s="20" t="n">
        <v>2592538</v>
      </c>
      <c r="B90" s="20" t="inlineStr">
        <is>
          <t>0CiakT7vTAfQ4QneD0oaE0</t>
        </is>
      </c>
      <c r="C90" s="20" t="inlineStr">
        <is>
          <t>PLATE</t>
        </is>
      </c>
      <c r="D90" s="20" t="inlineStr">
        <is>
          <t>-</t>
        </is>
      </c>
      <c r="E90" s="20" t="n"/>
      <c r="F90" s="20" t="inlineStr">
        <is>
          <t>PruebaCargaBidirecional</t>
        </is>
      </c>
      <c r="G90" s="20" t="inlineStr">
        <is>
          <t>Margen Izquierda</t>
        </is>
      </c>
      <c r="H90" s="20" t="n"/>
      <c r="I90" s="20" t="inlineStr">
        <is>
          <t>PCB-MI</t>
        </is>
      </c>
      <c r="J90" s="20" t="n"/>
      <c r="K90" s="20" t="inlineStr">
        <is>
          <t>Ejecutado</t>
        </is>
      </c>
    </row>
    <row r="91">
      <c r="A91" s="20" t="n">
        <v>2592575</v>
      </c>
      <c r="B91" s="20" t="inlineStr">
        <is>
          <t>2JLMUNHFP8RfGtvvs_82G0</t>
        </is>
      </c>
      <c r="C91" s="20" t="inlineStr">
        <is>
          <t>PLATE</t>
        </is>
      </c>
      <c r="D91" s="20" t="inlineStr">
        <is>
          <t>-</t>
        </is>
      </c>
      <c r="E91" s="20" t="n"/>
      <c r="F91" s="20" t="inlineStr">
        <is>
          <t>PruebaCargaBidirecional</t>
        </is>
      </c>
      <c r="G91" s="20" t="inlineStr">
        <is>
          <t>Margen Izquierda</t>
        </is>
      </c>
      <c r="H91" s="20" t="n"/>
      <c r="I91" s="20" t="inlineStr">
        <is>
          <t>PCB-MI</t>
        </is>
      </c>
      <c r="J91" s="20" t="n"/>
      <c r="K91" s="20" t="inlineStr">
        <is>
          <t>Ejecutado</t>
        </is>
      </c>
    </row>
    <row r="92">
      <c r="A92" s="20" t="n">
        <v>2592612</v>
      </c>
      <c r="B92" s="20" t="inlineStr">
        <is>
          <t>12x_kgYYT9eeCla7e6yOZP</t>
        </is>
      </c>
      <c r="C92" s="20" t="inlineStr">
        <is>
          <t>PLATE</t>
        </is>
      </c>
      <c r="D92" s="20" t="inlineStr">
        <is>
          <t>-</t>
        </is>
      </c>
      <c r="E92" s="20" t="n"/>
      <c r="F92" s="20" t="inlineStr">
        <is>
          <t>PruebaCargaBidirecional</t>
        </is>
      </c>
      <c r="G92" s="20" t="inlineStr">
        <is>
          <t>Margen Izquierda</t>
        </is>
      </c>
      <c r="H92" s="20" t="n"/>
      <c r="I92" s="20" t="inlineStr">
        <is>
          <t>PCB-MI</t>
        </is>
      </c>
      <c r="J92" s="20" t="n"/>
      <c r="K92" s="20" t="inlineStr">
        <is>
          <t>Ejecutado</t>
        </is>
      </c>
    </row>
    <row r="93">
      <c r="A93" s="20" t="n">
        <v>2592649</v>
      </c>
      <c r="B93" s="20" t="inlineStr">
        <is>
          <t>1Hn$vqoZrF_BiQZS1Ho7HM</t>
        </is>
      </c>
      <c r="C93" s="20" t="inlineStr">
        <is>
          <t>PLATE</t>
        </is>
      </c>
      <c r="D93" s="20" t="inlineStr">
        <is>
          <t>-</t>
        </is>
      </c>
      <c r="E93" s="20" t="n"/>
      <c r="F93" s="20" t="inlineStr">
        <is>
          <t>PruebaCargaBidirecional</t>
        </is>
      </c>
      <c r="G93" s="20" t="inlineStr">
        <is>
          <t>Margen Izquierda</t>
        </is>
      </c>
      <c r="H93" s="20" t="n"/>
      <c r="I93" s="20" t="inlineStr">
        <is>
          <t>PCB-MI</t>
        </is>
      </c>
      <c r="J93" s="20" t="n"/>
      <c r="K93" s="20" t="inlineStr">
        <is>
          <t>Ejecutado</t>
        </is>
      </c>
    </row>
    <row r="94">
      <c r="A94" s="20" t="n">
        <v>2592686</v>
      </c>
      <c r="B94" s="20" t="inlineStr">
        <is>
          <t>3wy3m$lNnDhQ$iK7qC79a0</t>
        </is>
      </c>
      <c r="C94" s="20" t="inlineStr">
        <is>
          <t>PLATE</t>
        </is>
      </c>
      <c r="D94" s="20" t="inlineStr">
        <is>
          <t>-</t>
        </is>
      </c>
      <c r="E94" s="20" t="n"/>
      <c r="F94" s="20" t="inlineStr">
        <is>
          <t>PruebaCargaBidirecional</t>
        </is>
      </c>
      <c r="G94" s="20" t="inlineStr">
        <is>
          <t>Margen Izquierda</t>
        </is>
      </c>
      <c r="H94" s="20" t="n"/>
      <c r="I94" s="20" t="inlineStr">
        <is>
          <t>PCB-MI</t>
        </is>
      </c>
      <c r="J94" s="20" t="n"/>
      <c r="K94" s="20" t="inlineStr">
        <is>
          <t>Ejecutado</t>
        </is>
      </c>
    </row>
    <row r="95">
      <c r="A95" s="20" t="n">
        <v>2592723</v>
      </c>
      <c r="B95" s="20" t="inlineStr">
        <is>
          <t>3kOM1trln8kPoq6mu7Fj_n</t>
        </is>
      </c>
      <c r="C95" s="20" t="inlineStr">
        <is>
          <t>PLATE</t>
        </is>
      </c>
      <c r="D95" s="20" t="inlineStr">
        <is>
          <t>-</t>
        </is>
      </c>
      <c r="E95" s="20" t="n"/>
      <c r="F95" s="20" t="inlineStr">
        <is>
          <t>PruebaCargaBidirecional</t>
        </is>
      </c>
      <c r="G95" s="20" t="inlineStr">
        <is>
          <t>Margen Izquierda</t>
        </is>
      </c>
      <c r="H95" s="20" t="n"/>
      <c r="I95" s="20" t="inlineStr">
        <is>
          <t>PCB-MI</t>
        </is>
      </c>
      <c r="J95" s="20" t="n"/>
      <c r="K95" s="20" t="inlineStr">
        <is>
          <t>Ejecutado</t>
        </is>
      </c>
    </row>
    <row r="96">
      <c r="A96" s="20" t="n">
        <v>2592760</v>
      </c>
      <c r="B96" s="20" t="inlineStr">
        <is>
          <t>0gUzbVPav17eSr2F6fEfut</t>
        </is>
      </c>
      <c r="C96" s="20" t="inlineStr">
        <is>
          <t>PLATE</t>
        </is>
      </c>
      <c r="D96" s="20" t="inlineStr">
        <is>
          <t>-</t>
        </is>
      </c>
      <c r="E96" s="20" t="n"/>
      <c r="F96" s="20" t="inlineStr">
        <is>
          <t>PruebaCargaBidirecional</t>
        </is>
      </c>
      <c r="G96" s="20" t="inlineStr">
        <is>
          <t>Margen Izquierda</t>
        </is>
      </c>
      <c r="H96" s="20" t="n"/>
      <c r="I96" s="20" t="inlineStr">
        <is>
          <t>PCB-MI</t>
        </is>
      </c>
      <c r="J96" s="20" t="n"/>
      <c r="K96" s="20" t="inlineStr">
        <is>
          <t>Ejecutado</t>
        </is>
      </c>
    </row>
    <row r="97">
      <c r="A97" s="20" t="n">
        <v>279</v>
      </c>
      <c r="B97" s="20" t="inlineStr">
        <is>
          <t>3QvDEWZCHB4f7ha37sP5PO</t>
        </is>
      </c>
      <c r="C97" s="20" t="inlineStr">
        <is>
          <t>SLAB</t>
        </is>
      </c>
      <c r="D97" s="20" t="inlineStr">
        <is>
          <t>Estribos_Pilote:Pilote_D1500_H38000_fc280:406703</t>
        </is>
      </c>
      <c r="E97" s="20" t="inlineStr">
        <is>
          <t>ED-P21</t>
        </is>
      </c>
      <c r="F97" s="20" t="inlineStr">
        <is>
          <t>Pilotes</t>
        </is>
      </c>
      <c r="G97" s="20" t="inlineStr">
        <is>
          <t>Margen Derecha</t>
        </is>
      </c>
      <c r="H97" s="20" t="inlineStr">
        <is>
          <t>Pilote</t>
        </is>
      </c>
      <c r="I97" s="20" t="inlineStr">
        <is>
          <t>PIL-MD</t>
        </is>
      </c>
      <c r="J97" s="20" t="n">
        <v>67.152</v>
      </c>
      <c r="K97" s="20" t="inlineStr">
        <is>
          <t>Ejecutado</t>
        </is>
      </c>
    </row>
    <row r="98">
      <c r="A98" s="20" t="n">
        <v>56118</v>
      </c>
      <c r="B98" s="20" t="inlineStr">
        <is>
          <t>1jnw_zha1FXQbUJieyT4Z7</t>
        </is>
      </c>
      <c r="C98" s="20" t="inlineStr">
        <is>
          <t>BUILDINGELEMENTPROXY</t>
        </is>
      </c>
      <c r="D98" s="20" t="inlineStr">
        <is>
          <t>Tubo Metalico Ø50mm, Prueba UltraSonico:Tubo Metalico Ø50mm, Prueba UltraSonico L=38.425m:451067</t>
        </is>
      </c>
      <c r="E98" s="20" t="inlineStr">
        <is>
          <t>TB5</t>
        </is>
      </c>
      <c r="F98" s="20" t="inlineStr">
        <is>
          <t>Pilotes</t>
        </is>
      </c>
      <c r="G98" s="20" t="inlineStr">
        <is>
          <t>Margen Derecha</t>
        </is>
      </c>
      <c r="H98" s="20" t="inlineStr">
        <is>
          <t>Pilote</t>
        </is>
      </c>
      <c r="I98" s="20" t="inlineStr">
        <is>
          <t>PIL-MD</t>
        </is>
      </c>
      <c r="J98" s="20" t="n">
        <v>0.017</v>
      </c>
      <c r="K98" s="20" t="inlineStr">
        <is>
          <t>Ejecutado</t>
        </is>
      </c>
    </row>
    <row r="99">
      <c r="A99" s="20" t="n">
        <v>56182</v>
      </c>
      <c r="B99" s="20" t="inlineStr">
        <is>
          <t>1jnw_zha1FXQbUJieyT4oJ</t>
        </is>
      </c>
      <c r="C99" s="20" t="inlineStr">
        <is>
          <t>BUILDINGELEMENTPROXY</t>
        </is>
      </c>
      <c r="D99" s="20" t="inlineStr">
        <is>
          <t>Tubo Metalico Ø50mm, Prueba UltraSonico:Tubo Metalico Ø50mm, Prueba UltraSonico L=38.425m:452015</t>
        </is>
      </c>
      <c r="E99" s="20" t="inlineStr">
        <is>
          <t>TB5</t>
        </is>
      </c>
      <c r="F99" s="20" t="inlineStr">
        <is>
          <t>Pilotes</t>
        </is>
      </c>
      <c r="G99" s="20" t="inlineStr">
        <is>
          <t>Margen Derecha</t>
        </is>
      </c>
      <c r="H99" s="20" t="inlineStr">
        <is>
          <t>Pilote</t>
        </is>
      </c>
      <c r="I99" s="20" t="inlineStr">
        <is>
          <t>PIL-MD</t>
        </is>
      </c>
      <c r="J99" s="20" t="n">
        <v>0.017</v>
      </c>
      <c r="K99" s="20" t="inlineStr">
        <is>
          <t>Ejecutado</t>
        </is>
      </c>
    </row>
    <row r="100">
      <c r="A100" s="20" t="n">
        <v>56210</v>
      </c>
      <c r="B100" s="20" t="inlineStr">
        <is>
          <t>1jnw_zha1FXQbUJieyT4pO</t>
        </is>
      </c>
      <c r="C100" s="20" t="inlineStr">
        <is>
          <t>BUILDINGELEMENTPROXY</t>
        </is>
      </c>
      <c r="D100" s="20" t="inlineStr">
        <is>
          <t>Tubo Metalico Ø50mm, Prueba UltraSonico:Tubo Metalico Ø50mm, Prueba UltraSonico L=38.425m:452068</t>
        </is>
      </c>
      <c r="E100" s="20" t="inlineStr">
        <is>
          <t>TB5</t>
        </is>
      </c>
      <c r="F100" s="20" t="inlineStr">
        <is>
          <t>Pilotes</t>
        </is>
      </c>
      <c r="G100" s="20" t="inlineStr">
        <is>
          <t>Margen Derecha</t>
        </is>
      </c>
      <c r="H100" s="20" t="inlineStr">
        <is>
          <t>Pilote</t>
        </is>
      </c>
      <c r="I100" s="20" t="inlineStr">
        <is>
          <t>PIL-MD</t>
        </is>
      </c>
      <c r="J100" s="20" t="n">
        <v>0.017</v>
      </c>
      <c r="K100" s="20" t="inlineStr">
        <is>
          <t>Ejecutado</t>
        </is>
      </c>
    </row>
    <row r="101">
      <c r="A101" s="20" t="n">
        <v>56238</v>
      </c>
      <c r="B101" s="20" t="inlineStr">
        <is>
          <t>1jnw_zha1FXQbUJieyT4pP</t>
        </is>
      </c>
      <c r="C101" s="20" t="inlineStr">
        <is>
          <t>BUILDINGELEMENTPROXY</t>
        </is>
      </c>
      <c r="D101" s="20" t="inlineStr">
        <is>
          <t>Tubo Metalico Ø50mm, Prueba UltraSonico:Tubo Metalico Ø50mm, Prueba UltraSonico L=38.425m:452069</t>
        </is>
      </c>
      <c r="E101" s="20" t="inlineStr">
        <is>
          <t>TB5</t>
        </is>
      </c>
      <c r="F101" s="20" t="inlineStr">
        <is>
          <t>Pilotes</t>
        </is>
      </c>
      <c r="G101" s="20" t="inlineStr">
        <is>
          <t>Margen Derecha</t>
        </is>
      </c>
      <c r="H101" s="20" t="inlineStr">
        <is>
          <t>Pilote</t>
        </is>
      </c>
      <c r="I101" s="20" t="inlineStr">
        <is>
          <t>PIL-MD</t>
        </is>
      </c>
      <c r="J101" s="20" t="n">
        <v>0.017</v>
      </c>
      <c r="K101" s="20" t="inlineStr">
        <is>
          <t>Ejecutado</t>
        </is>
      </c>
    </row>
    <row r="102">
      <c r="A102" s="20" t="n">
        <v>56427</v>
      </c>
      <c r="B102" s="20" t="inlineStr">
        <is>
          <t>3zZFx4xL53DPPCX6YmUKUg</t>
        </is>
      </c>
      <c r="C102" s="20" t="inlineStr">
        <is>
          <t>SLAB</t>
        </is>
      </c>
      <c r="D102" s="20" t="inlineStr">
        <is>
          <t>Estribos_Pilote:Pilote_D1500_H38000_fc280:477542</t>
        </is>
      </c>
      <c r="E102" s="20" t="inlineStr">
        <is>
          <t>ED-P1</t>
        </is>
      </c>
      <c r="F102" s="20" t="inlineStr">
        <is>
          <t>Pilotes</t>
        </is>
      </c>
      <c r="G102" s="20" t="inlineStr">
        <is>
          <t>Margen Derecha</t>
        </is>
      </c>
      <c r="H102" s="20" t="inlineStr">
        <is>
          <t>Pilote</t>
        </is>
      </c>
      <c r="I102" s="20" t="inlineStr">
        <is>
          <t>PIL-MD</t>
        </is>
      </c>
      <c r="J102" s="20" t="n">
        <v>67.152</v>
      </c>
      <c r="K102" s="20" t="inlineStr">
        <is>
          <t>Ejecutado</t>
        </is>
      </c>
    </row>
    <row r="103">
      <c r="A103" s="20" t="n">
        <v>110726</v>
      </c>
      <c r="B103" s="20" t="inlineStr">
        <is>
          <t>3zZFx4xL53DPPCX6YmUKLr</t>
        </is>
      </c>
      <c r="C103" s="20" t="inlineStr">
        <is>
          <t>BUILDINGELEMENTPROXY</t>
        </is>
      </c>
      <c r="D103" s="20" t="inlineStr">
        <is>
          <t>Tubo Metalico Ø50mm, Prueba UltraSonico:Tubo Metalico Ø50mm, Prueba UltraSonico L=38.425m:478137</t>
        </is>
      </c>
      <c r="E103" s="20" t="inlineStr">
        <is>
          <t>TB5</t>
        </is>
      </c>
      <c r="F103" s="20" t="inlineStr">
        <is>
          <t>Pilotes</t>
        </is>
      </c>
      <c r="G103" s="20" t="inlineStr">
        <is>
          <t>Margen Derecha</t>
        </is>
      </c>
      <c r="H103" s="20" t="inlineStr">
        <is>
          <t>Pilote</t>
        </is>
      </c>
      <c r="I103" s="20" t="inlineStr">
        <is>
          <t>PIL-MD</t>
        </is>
      </c>
      <c r="J103" s="20" t="n">
        <v>0.017</v>
      </c>
      <c r="K103" s="20" t="inlineStr">
        <is>
          <t>Ejecutado</t>
        </is>
      </c>
    </row>
    <row r="104">
      <c r="A104" s="20" t="n">
        <v>110754</v>
      </c>
      <c r="B104" s="20" t="inlineStr">
        <is>
          <t>3zZFx4xL53DPPCX6YmUKLs</t>
        </is>
      </c>
      <c r="C104" s="20" t="inlineStr">
        <is>
          <t>BUILDINGELEMENTPROXY</t>
        </is>
      </c>
      <c r="D104" s="20" t="inlineStr">
        <is>
          <t>Tubo Metalico Ø50mm, Prueba UltraSonico:Tubo Metalico Ø50mm, Prueba UltraSonico L=38.425m:478138</t>
        </is>
      </c>
      <c r="E104" s="20" t="inlineStr">
        <is>
          <t>TB5</t>
        </is>
      </c>
      <c r="F104" s="20" t="inlineStr">
        <is>
          <t>Pilotes</t>
        </is>
      </c>
      <c r="G104" s="20" t="inlineStr">
        <is>
          <t>Margen Derecha</t>
        </is>
      </c>
      <c r="H104" s="20" t="inlineStr">
        <is>
          <t>Pilote</t>
        </is>
      </c>
      <c r="I104" s="20" t="inlineStr">
        <is>
          <t>PIL-MD</t>
        </is>
      </c>
      <c r="J104" s="20" t="n">
        <v>0.017</v>
      </c>
      <c r="K104" s="20" t="inlineStr">
        <is>
          <t>Ejecutado</t>
        </is>
      </c>
    </row>
    <row r="105">
      <c r="A105" s="20" t="n">
        <v>110782</v>
      </c>
      <c r="B105" s="20" t="inlineStr">
        <is>
          <t>3zZFx4xL53DPPCX6YmUKLt</t>
        </is>
      </c>
      <c r="C105" s="20" t="inlineStr">
        <is>
          <t>BUILDINGELEMENTPROXY</t>
        </is>
      </c>
      <c r="D105" s="20" t="inlineStr">
        <is>
          <t>Tubo Metalico Ø50mm, Prueba UltraSonico:Tubo Metalico Ø50mm, Prueba UltraSonico L=38.425m:478139</t>
        </is>
      </c>
      <c r="E105" s="20" t="inlineStr">
        <is>
          <t>TB5</t>
        </is>
      </c>
      <c r="F105" s="20" t="inlineStr">
        <is>
          <t>Pilotes</t>
        </is>
      </c>
      <c r="G105" s="20" t="inlineStr">
        <is>
          <t>Margen Derecha</t>
        </is>
      </c>
      <c r="H105" s="20" t="inlineStr">
        <is>
          <t>Pilote</t>
        </is>
      </c>
      <c r="I105" s="20" t="inlineStr">
        <is>
          <t>PIL-MD</t>
        </is>
      </c>
      <c r="J105" s="20" t="n">
        <v>0.017</v>
      </c>
      <c r="K105" s="20" t="inlineStr">
        <is>
          <t>Ejecutado</t>
        </is>
      </c>
    </row>
    <row r="106">
      <c r="A106" s="20" t="n">
        <v>110810</v>
      </c>
      <c r="B106" s="20" t="inlineStr">
        <is>
          <t>3zZFx4xL53DPPCX6YmUKLm</t>
        </is>
      </c>
      <c r="C106" s="20" t="inlineStr">
        <is>
          <t>BUILDINGELEMENTPROXY</t>
        </is>
      </c>
      <c r="D106" s="20" t="inlineStr">
        <is>
          <t>Tubo Metalico Ø50mm, Prueba UltraSonico:Tubo Metalico Ø50mm, Prueba UltraSonico L=38.425m:478140</t>
        </is>
      </c>
      <c r="E106" s="20" t="inlineStr">
        <is>
          <t>TB5</t>
        </is>
      </c>
      <c r="F106" s="20" t="inlineStr">
        <is>
          <t>Pilotes</t>
        </is>
      </c>
      <c r="G106" s="20" t="inlineStr">
        <is>
          <t>Margen Derecha</t>
        </is>
      </c>
      <c r="H106" s="20" t="inlineStr">
        <is>
          <t>Pilote</t>
        </is>
      </c>
      <c r="I106" s="20" t="inlineStr">
        <is>
          <t>PIL-MD</t>
        </is>
      </c>
      <c r="J106" s="20" t="n">
        <v>0.017</v>
      </c>
      <c r="K106" s="20" t="inlineStr">
        <is>
          <t>Ejecutado</t>
        </is>
      </c>
    </row>
    <row r="107">
      <c r="A107" s="20" t="n">
        <v>110954</v>
      </c>
      <c r="B107" s="20" t="inlineStr">
        <is>
          <t>3zZFx4xL53DPPCX6YmULxt</t>
        </is>
      </c>
      <c r="C107" s="20" t="inlineStr">
        <is>
          <t>SLAB</t>
        </is>
      </c>
      <c r="D107" s="20" t="inlineStr">
        <is>
          <t>Estribos_Pilote:Pilote_D1500_H38000_fc280:479291</t>
        </is>
      </c>
      <c r="E107" s="20" t="inlineStr">
        <is>
          <t>ED-P18</t>
        </is>
      </c>
      <c r="F107" s="20" t="inlineStr">
        <is>
          <t>Pilotes</t>
        </is>
      </c>
      <c r="G107" s="20" t="inlineStr">
        <is>
          <t>Margen Derecha</t>
        </is>
      </c>
      <c r="H107" s="20" t="inlineStr">
        <is>
          <t>Pilote</t>
        </is>
      </c>
      <c r="I107" s="20" t="inlineStr">
        <is>
          <t>PIL-MD</t>
        </is>
      </c>
      <c r="J107" s="20" t="n">
        <v>67.152</v>
      </c>
      <c r="K107" s="20" t="inlineStr">
        <is>
          <t>Ejecutado</t>
        </is>
      </c>
    </row>
    <row r="108">
      <c r="A108" s="20" t="n">
        <v>165253</v>
      </c>
      <c r="B108" s="20" t="inlineStr">
        <is>
          <t>3zZFx4xL53DPPCX6YmULn2</t>
        </is>
      </c>
      <c r="C108" s="20" t="inlineStr">
        <is>
          <t>BUILDINGELEMENTPROXY</t>
        </is>
      </c>
      <c r="D108" s="20" t="inlineStr">
        <is>
          <t>Tubo Metalico Ø50mm, Prueba UltraSonico:Tubo Metalico Ø50mm, Prueba UltraSonico L=38.425m:479886</t>
        </is>
      </c>
      <c r="E108" s="20" t="inlineStr">
        <is>
          <t>TB5</t>
        </is>
      </c>
      <c r="F108" s="20" t="inlineStr">
        <is>
          <t>Pilotes</t>
        </is>
      </c>
      <c r="G108" s="20" t="inlineStr">
        <is>
          <t>Margen Derecha</t>
        </is>
      </c>
      <c r="H108" s="20" t="inlineStr">
        <is>
          <t>Pilote</t>
        </is>
      </c>
      <c r="I108" s="20" t="inlineStr">
        <is>
          <t>PIL-MD</t>
        </is>
      </c>
      <c r="J108" s="20" t="n">
        <v>0.017</v>
      </c>
      <c r="K108" s="20" t="inlineStr">
        <is>
          <t>Ejecutado</t>
        </is>
      </c>
    </row>
    <row r="109">
      <c r="A109" s="20" t="n">
        <v>165281</v>
      </c>
      <c r="B109" s="20" t="inlineStr">
        <is>
          <t>3zZFx4xL53DPPCX6YmULn3</t>
        </is>
      </c>
      <c r="C109" s="20" t="inlineStr">
        <is>
          <t>BUILDINGELEMENTPROXY</t>
        </is>
      </c>
      <c r="D109" s="20" t="inlineStr">
        <is>
          <t>Tubo Metalico Ø50mm, Prueba UltraSonico:Tubo Metalico Ø50mm, Prueba UltraSonico L=38.425m:479887</t>
        </is>
      </c>
      <c r="E109" s="20" t="inlineStr">
        <is>
          <t>TB5</t>
        </is>
      </c>
      <c r="F109" s="20" t="inlineStr">
        <is>
          <t>Pilotes</t>
        </is>
      </c>
      <c r="G109" s="20" t="inlineStr">
        <is>
          <t>Margen Derecha</t>
        </is>
      </c>
      <c r="H109" s="20" t="inlineStr">
        <is>
          <t>Pilote</t>
        </is>
      </c>
      <c r="I109" s="20" t="inlineStr">
        <is>
          <t>PIL-MD</t>
        </is>
      </c>
      <c r="J109" s="20" t="n">
        <v>0.017</v>
      </c>
      <c r="K109" s="20" t="inlineStr">
        <is>
          <t>Ejecutado</t>
        </is>
      </c>
    </row>
    <row r="110">
      <c r="A110" s="20" t="n">
        <v>165309</v>
      </c>
      <c r="B110" s="20" t="inlineStr">
        <is>
          <t>3zZFx4xL53DPPCX6YmULnS</t>
        </is>
      </c>
      <c r="C110" s="20" t="inlineStr">
        <is>
          <t>BUILDINGELEMENTPROXY</t>
        </is>
      </c>
      <c r="D110" s="20" t="inlineStr">
        <is>
          <t>Tubo Metalico Ø50mm, Prueba UltraSonico:Tubo Metalico Ø50mm, Prueba UltraSonico L=38.425m:479888</t>
        </is>
      </c>
      <c r="E110" s="20" t="inlineStr">
        <is>
          <t>TB5</t>
        </is>
      </c>
      <c r="F110" s="20" t="inlineStr">
        <is>
          <t>Pilotes</t>
        </is>
      </c>
      <c r="G110" s="20" t="inlineStr">
        <is>
          <t>Margen Derecha</t>
        </is>
      </c>
      <c r="H110" s="20" t="inlineStr">
        <is>
          <t>Pilote</t>
        </is>
      </c>
      <c r="I110" s="20" t="inlineStr">
        <is>
          <t>PIL-MD</t>
        </is>
      </c>
      <c r="J110" s="20" t="n">
        <v>0.017</v>
      </c>
      <c r="K110" s="20" t="inlineStr">
        <is>
          <t>Ejecutado</t>
        </is>
      </c>
    </row>
    <row r="111">
      <c r="A111" s="20" t="n">
        <v>165337</v>
      </c>
      <c r="B111" s="20" t="inlineStr">
        <is>
          <t>3zZFx4xL53DPPCX6YmULnT</t>
        </is>
      </c>
      <c r="C111" s="20" t="inlineStr">
        <is>
          <t>BUILDINGELEMENTPROXY</t>
        </is>
      </c>
      <c r="D111" s="20" t="inlineStr">
        <is>
          <t>Tubo Metalico Ø50mm, Prueba UltraSonico:Tubo Metalico Ø50mm, Prueba UltraSonico L=38.425m:479889</t>
        </is>
      </c>
      <c r="E111" s="20" t="inlineStr">
        <is>
          <t>TB5</t>
        </is>
      </c>
      <c r="F111" s="20" t="inlineStr">
        <is>
          <t>Pilotes</t>
        </is>
      </c>
      <c r="G111" s="20" t="inlineStr">
        <is>
          <t>Margen Derecha</t>
        </is>
      </c>
      <c r="H111" s="20" t="inlineStr">
        <is>
          <t>Pilote</t>
        </is>
      </c>
      <c r="I111" s="20" t="inlineStr">
        <is>
          <t>PIL-MD</t>
        </is>
      </c>
      <c r="J111" s="20" t="n">
        <v>0.017</v>
      </c>
      <c r="K111" s="20" t="inlineStr">
        <is>
          <t>Ejecutado</t>
        </is>
      </c>
    </row>
    <row r="112">
      <c r="A112" s="20" t="n">
        <v>165481</v>
      </c>
      <c r="B112" s="20" t="inlineStr">
        <is>
          <t>3zZFx4xL53DPPCX6YmULnX</t>
        </is>
      </c>
      <c r="C112" s="20" t="inlineStr">
        <is>
          <t>SLAB</t>
        </is>
      </c>
      <c r="D112" s="20" t="inlineStr">
        <is>
          <t>Estribos_Pilote:Pilote_D1500_H38000_fc280:479917</t>
        </is>
      </c>
      <c r="E112" s="20" t="inlineStr">
        <is>
          <t>ED-P20</t>
        </is>
      </c>
      <c r="F112" s="20" t="inlineStr">
        <is>
          <t>Pilotes</t>
        </is>
      </c>
      <c r="G112" s="20" t="inlineStr">
        <is>
          <t>Margen Derecha</t>
        </is>
      </c>
      <c r="H112" s="20" t="inlineStr">
        <is>
          <t>Pilote</t>
        </is>
      </c>
      <c r="I112" s="20" t="inlineStr">
        <is>
          <t>PIL-MD</t>
        </is>
      </c>
      <c r="J112" s="20" t="n">
        <v>67.152</v>
      </c>
      <c r="K112" s="20" t="inlineStr">
        <is>
          <t>Ejecutado</t>
        </is>
      </c>
    </row>
    <row r="113">
      <c r="A113" s="20" t="n">
        <v>219780</v>
      </c>
      <c r="B113" s="20" t="inlineStr">
        <is>
          <t>3zZFx4xL53DPPCX6YmULlC</t>
        </is>
      </c>
      <c r="C113" s="20" t="inlineStr">
        <is>
          <t>BUILDINGELEMENTPROXY</t>
        </is>
      </c>
      <c r="D113" s="20" t="inlineStr">
        <is>
          <t>Tubo Metalico Ø50mm, Prueba UltraSonico:Tubo Metalico Ø50mm, Prueba UltraSonico L=38.425m:480512</t>
        </is>
      </c>
      <c r="E113" s="20" t="inlineStr">
        <is>
          <t>TB5</t>
        </is>
      </c>
      <c r="F113" s="20" t="inlineStr">
        <is>
          <t>Pilotes</t>
        </is>
      </c>
      <c r="G113" s="20" t="inlineStr">
        <is>
          <t>Margen Derecha</t>
        </is>
      </c>
      <c r="H113" s="20" t="inlineStr">
        <is>
          <t>Pilote</t>
        </is>
      </c>
      <c r="I113" s="20" t="inlineStr">
        <is>
          <t>PIL-MD</t>
        </is>
      </c>
      <c r="J113" s="20" t="n">
        <v>0.017</v>
      </c>
      <c r="K113" s="20" t="inlineStr">
        <is>
          <t>Ejecutado</t>
        </is>
      </c>
    </row>
    <row r="114">
      <c r="A114" s="20" t="n">
        <v>219808</v>
      </c>
      <c r="B114" s="20" t="inlineStr">
        <is>
          <t>3zZFx4xL53DPPCX6YmULlD</t>
        </is>
      </c>
      <c r="C114" s="20" t="inlineStr">
        <is>
          <t>BUILDINGELEMENTPROXY</t>
        </is>
      </c>
      <c r="D114" s="20" t="inlineStr">
        <is>
          <t>Tubo Metalico Ø50mm, Prueba UltraSonico:Tubo Metalico Ø50mm, Prueba UltraSonico L=38.425m:480513</t>
        </is>
      </c>
      <c r="E114" s="20" t="inlineStr">
        <is>
          <t>TB5</t>
        </is>
      </c>
      <c r="F114" s="20" t="inlineStr">
        <is>
          <t>Pilotes</t>
        </is>
      </c>
      <c r="G114" s="20" t="inlineStr">
        <is>
          <t>Margen Derecha</t>
        </is>
      </c>
      <c r="H114" s="20" t="inlineStr">
        <is>
          <t>Pilote</t>
        </is>
      </c>
      <c r="I114" s="20" t="inlineStr">
        <is>
          <t>PIL-MD</t>
        </is>
      </c>
      <c r="J114" s="20" t="n">
        <v>0.017</v>
      </c>
      <c r="K114" s="20" t="inlineStr">
        <is>
          <t>Ejecutado</t>
        </is>
      </c>
    </row>
    <row r="115">
      <c r="A115" s="20" t="n">
        <v>219836</v>
      </c>
      <c r="B115" s="20" t="inlineStr">
        <is>
          <t>3zZFx4xL53DPPCX6YmULlE</t>
        </is>
      </c>
      <c r="C115" s="20" t="inlineStr">
        <is>
          <t>BUILDINGELEMENTPROXY</t>
        </is>
      </c>
      <c r="D115" s="20" t="inlineStr">
        <is>
          <t>Tubo Metalico Ø50mm, Prueba UltraSonico:Tubo Metalico Ø50mm, Prueba UltraSonico L=38.425m:480514</t>
        </is>
      </c>
      <c r="E115" s="20" t="inlineStr">
        <is>
          <t>TB5</t>
        </is>
      </c>
      <c r="F115" s="20" t="inlineStr">
        <is>
          <t>Pilotes</t>
        </is>
      </c>
      <c r="G115" s="20" t="inlineStr">
        <is>
          <t>Margen Derecha</t>
        </is>
      </c>
      <c r="H115" s="20" t="inlineStr">
        <is>
          <t>Pilote</t>
        </is>
      </c>
      <c r="I115" s="20" t="inlineStr">
        <is>
          <t>PIL-MD</t>
        </is>
      </c>
      <c r="J115" s="20" t="n">
        <v>0.017</v>
      </c>
      <c r="K115" s="20" t="inlineStr">
        <is>
          <t>Ejecutado</t>
        </is>
      </c>
    </row>
    <row r="116">
      <c r="A116" s="20" t="n">
        <v>219864</v>
      </c>
      <c r="B116" s="20" t="inlineStr">
        <is>
          <t>3zZFx4xL53DPPCX6YmULlF</t>
        </is>
      </c>
      <c r="C116" s="20" t="inlineStr">
        <is>
          <t>BUILDINGELEMENTPROXY</t>
        </is>
      </c>
      <c r="D116" s="20" t="inlineStr">
        <is>
          <t>Tubo Metalico Ø50mm, Prueba UltraSonico:Tubo Metalico Ø50mm, Prueba UltraSonico L=38.425m:480515</t>
        </is>
      </c>
      <c r="E116" s="20" t="inlineStr">
        <is>
          <t>TB5</t>
        </is>
      </c>
      <c r="F116" s="20" t="inlineStr">
        <is>
          <t>Pilotes</t>
        </is>
      </c>
      <c r="G116" s="20" t="inlineStr">
        <is>
          <t>Margen Derecha</t>
        </is>
      </c>
      <c r="H116" s="20" t="inlineStr">
        <is>
          <t>Pilote</t>
        </is>
      </c>
      <c r="I116" s="20" t="inlineStr">
        <is>
          <t>PIL-MD</t>
        </is>
      </c>
      <c r="J116" s="20" t="n">
        <v>0.017</v>
      </c>
      <c r="K116" s="20" t="inlineStr">
        <is>
          <t>Ejecutado</t>
        </is>
      </c>
    </row>
    <row r="117">
      <c r="A117" s="20" t="n">
        <v>220008</v>
      </c>
      <c r="B117" s="20" t="inlineStr">
        <is>
          <t>3zZFx4xL53DPPCX6YmULlJ</t>
        </is>
      </c>
      <c r="C117" s="20" t="inlineStr">
        <is>
          <t>SLAB</t>
        </is>
      </c>
      <c r="D117" s="20" t="inlineStr">
        <is>
          <t>Estribos_Pilote:Pilote_D1500_H38000_fc280:480543</t>
        </is>
      </c>
      <c r="E117" s="20" t="inlineStr">
        <is>
          <t>ED-P17</t>
        </is>
      </c>
      <c r="F117" s="20" t="inlineStr">
        <is>
          <t>Pilotes</t>
        </is>
      </c>
      <c r="G117" s="20" t="inlineStr">
        <is>
          <t>Margen Derecha</t>
        </is>
      </c>
      <c r="H117" s="20" t="inlineStr">
        <is>
          <t>Pilote</t>
        </is>
      </c>
      <c r="I117" s="20" t="inlineStr">
        <is>
          <t>PIL-MD</t>
        </is>
      </c>
      <c r="J117" s="20" t="n">
        <v>67.152</v>
      </c>
      <c r="K117" s="20" t="inlineStr">
        <is>
          <t>Ejecutado</t>
        </is>
      </c>
    </row>
    <row r="118">
      <c r="A118" s="20" t="n">
        <v>274307</v>
      </c>
      <c r="B118" s="20" t="inlineStr">
        <is>
          <t>3zZFx4xL53DPPCX6YmULc_</t>
        </is>
      </c>
      <c r="C118" s="20" t="inlineStr">
        <is>
          <t>BUILDINGELEMENTPROXY</t>
        </is>
      </c>
      <c r="D118" s="20" t="inlineStr">
        <is>
          <t>Tubo Metalico Ø50mm, Prueba UltraSonico:Tubo Metalico Ø50mm, Prueba UltraSonico L=38.425m:481138</t>
        </is>
      </c>
      <c r="E118" s="20" t="inlineStr">
        <is>
          <t>TB5</t>
        </is>
      </c>
      <c r="F118" s="20" t="inlineStr">
        <is>
          <t>Pilotes</t>
        </is>
      </c>
      <c r="G118" s="20" t="inlineStr">
        <is>
          <t>Margen Derecha</t>
        </is>
      </c>
      <c r="H118" s="20" t="inlineStr">
        <is>
          <t>Pilote</t>
        </is>
      </c>
      <c r="I118" s="20" t="inlineStr">
        <is>
          <t>PIL-MD</t>
        </is>
      </c>
      <c r="J118" s="20" t="n">
        <v>0.017</v>
      </c>
      <c r="K118" s="20" t="inlineStr">
        <is>
          <t>Ejecutado</t>
        </is>
      </c>
    </row>
    <row r="119">
      <c r="A119" s="20" t="n">
        <v>274335</v>
      </c>
      <c r="B119" s="20" t="inlineStr">
        <is>
          <t>3zZFx4xL53DPPCX6YmULc$</t>
        </is>
      </c>
      <c r="C119" s="20" t="inlineStr">
        <is>
          <t>BUILDINGELEMENTPROXY</t>
        </is>
      </c>
      <c r="D119" s="20" t="inlineStr">
        <is>
          <t>Tubo Metalico Ø50mm, Prueba UltraSonico:Tubo Metalico Ø50mm, Prueba UltraSonico L=38.425m:481139</t>
        </is>
      </c>
      <c r="E119" s="20" t="inlineStr">
        <is>
          <t>TB5</t>
        </is>
      </c>
      <c r="F119" s="20" t="inlineStr">
        <is>
          <t>Pilotes</t>
        </is>
      </c>
      <c r="G119" s="20" t="inlineStr">
        <is>
          <t>Margen Derecha</t>
        </is>
      </c>
      <c r="H119" s="20" t="inlineStr">
        <is>
          <t>Pilote</t>
        </is>
      </c>
      <c r="I119" s="20" t="inlineStr">
        <is>
          <t>PIL-MD</t>
        </is>
      </c>
      <c r="J119" s="20" t="n">
        <v>0.017</v>
      </c>
      <c r="K119" s="20" t="inlineStr">
        <is>
          <t>Ejecutado</t>
        </is>
      </c>
    </row>
    <row r="120">
      <c r="A120" s="20" t="n">
        <v>274363</v>
      </c>
      <c r="B120" s="20" t="inlineStr">
        <is>
          <t>3zZFx4xL53DPPCX6YmULcu</t>
        </is>
      </c>
      <c r="C120" s="20" t="inlineStr">
        <is>
          <t>BUILDINGELEMENTPROXY</t>
        </is>
      </c>
      <c r="D120" s="20" t="inlineStr">
        <is>
          <t>Tubo Metalico Ø50mm, Prueba UltraSonico:Tubo Metalico Ø50mm, Prueba UltraSonico L=38.425m:481140</t>
        </is>
      </c>
      <c r="E120" s="20" t="inlineStr">
        <is>
          <t>TB5</t>
        </is>
      </c>
      <c r="F120" s="20" t="inlineStr">
        <is>
          <t>Pilotes</t>
        </is>
      </c>
      <c r="G120" s="20" t="inlineStr">
        <is>
          <t>Margen Derecha</t>
        </is>
      </c>
      <c r="H120" s="20" t="inlineStr">
        <is>
          <t>Pilote</t>
        </is>
      </c>
      <c r="I120" s="20" t="inlineStr">
        <is>
          <t>PIL-MD</t>
        </is>
      </c>
      <c r="J120" s="20" t="n">
        <v>0.017</v>
      </c>
      <c r="K120" s="20" t="inlineStr">
        <is>
          <t>Ejecutado</t>
        </is>
      </c>
    </row>
    <row r="121">
      <c r="A121" s="20" t="n">
        <v>274391</v>
      </c>
      <c r="B121" s="20" t="inlineStr">
        <is>
          <t>3zZFx4xL53DPPCX6YmULcv</t>
        </is>
      </c>
      <c r="C121" s="20" t="inlineStr">
        <is>
          <t>BUILDINGELEMENTPROXY</t>
        </is>
      </c>
      <c r="D121" s="20" t="inlineStr">
        <is>
          <t>Tubo Metalico Ø50mm, Prueba UltraSonico:Tubo Metalico Ø50mm, Prueba UltraSonico L=38.425m:481141</t>
        </is>
      </c>
      <c r="E121" s="20" t="inlineStr">
        <is>
          <t>TB5</t>
        </is>
      </c>
      <c r="F121" s="20" t="inlineStr">
        <is>
          <t>Pilotes</t>
        </is>
      </c>
      <c r="G121" s="20" t="inlineStr">
        <is>
          <t>Margen Derecha</t>
        </is>
      </c>
      <c r="H121" s="20" t="inlineStr">
        <is>
          <t>Pilote</t>
        </is>
      </c>
      <c r="I121" s="20" t="inlineStr">
        <is>
          <t>PIL-MD</t>
        </is>
      </c>
      <c r="J121" s="20" t="n">
        <v>0.017</v>
      </c>
      <c r="K121" s="20" t="inlineStr">
        <is>
          <t>Ejecutado</t>
        </is>
      </c>
    </row>
    <row r="122">
      <c r="A122" s="20" t="n">
        <v>274535</v>
      </c>
      <c r="B122" s="20" t="inlineStr">
        <is>
          <t>3zZFx4xL53DPPCX6YmULaP</t>
        </is>
      </c>
      <c r="C122" s="20" t="inlineStr">
        <is>
          <t>SLAB</t>
        </is>
      </c>
      <c r="D122" s="20" t="inlineStr">
        <is>
          <t>Estribos_Pilote:Pilote_D1500_H38000_fc280:481237</t>
        </is>
      </c>
      <c r="E122" s="20" t="inlineStr">
        <is>
          <t>ED-P4</t>
        </is>
      </c>
      <c r="F122" s="20" t="inlineStr">
        <is>
          <t>Pilotes</t>
        </is>
      </c>
      <c r="G122" s="20" t="inlineStr">
        <is>
          <t>Margen Derecha</t>
        </is>
      </c>
      <c r="H122" s="20" t="inlineStr">
        <is>
          <t>Pilote</t>
        </is>
      </c>
      <c r="I122" s="20" t="inlineStr">
        <is>
          <t>PIL-MD</t>
        </is>
      </c>
      <c r="J122" s="20" t="n">
        <v>67.152</v>
      </c>
      <c r="K122" s="20" t="inlineStr">
        <is>
          <t>Ejecutado</t>
        </is>
      </c>
    </row>
    <row r="123">
      <c r="A123" s="20" t="n">
        <v>304434</v>
      </c>
      <c r="B123" s="20" t="inlineStr">
        <is>
          <t>3zZFx4xL53DPPCX6YmULVh</t>
        </is>
      </c>
      <c r="C123" s="20" t="inlineStr">
        <is>
          <t>BUILDINGELEMENTPROXY</t>
        </is>
      </c>
      <c r="D123" s="20" t="inlineStr">
        <is>
          <t>Tubo Metalico Ø50mm, Prueba UltraSonico:Tubo Metalico Ø50mm, Prueba UltraSonico L=38.425m:481575</t>
        </is>
      </c>
      <c r="E123" s="20" t="inlineStr">
        <is>
          <t>TB5</t>
        </is>
      </c>
      <c r="F123" s="20" t="inlineStr">
        <is>
          <t>Pilotes</t>
        </is>
      </c>
      <c r="G123" s="20" t="inlineStr">
        <is>
          <t>Margen Derecha</t>
        </is>
      </c>
      <c r="H123" s="20" t="inlineStr">
        <is>
          <t>Pilote</t>
        </is>
      </c>
      <c r="I123" s="20" t="inlineStr">
        <is>
          <t>PIL-MD</t>
        </is>
      </c>
      <c r="J123" s="20" t="n">
        <v>0.017</v>
      </c>
      <c r="K123" s="20" t="inlineStr">
        <is>
          <t>Ejecutado</t>
        </is>
      </c>
    </row>
    <row r="124">
      <c r="A124" s="20" t="n">
        <v>304462</v>
      </c>
      <c r="B124" s="20" t="inlineStr">
        <is>
          <t>3zZFx4xL53DPPCX6YmULVa</t>
        </is>
      </c>
      <c r="C124" s="20" t="inlineStr">
        <is>
          <t>BUILDINGELEMENTPROXY</t>
        </is>
      </c>
      <c r="D124" s="20" t="inlineStr">
        <is>
          <t>Tubo Metalico Ø50mm, Prueba UltraSonico:Tubo Metalico Ø50mm, Prueba UltraSonico L=38.425m:481576</t>
        </is>
      </c>
      <c r="E124" s="20" t="inlineStr">
        <is>
          <t>TB5</t>
        </is>
      </c>
      <c r="F124" s="20" t="inlineStr">
        <is>
          <t>Pilotes</t>
        </is>
      </c>
      <c r="G124" s="20" t="inlineStr">
        <is>
          <t>Margen Derecha</t>
        </is>
      </c>
      <c r="H124" s="20" t="inlineStr">
        <is>
          <t>Pilote</t>
        </is>
      </c>
      <c r="I124" s="20" t="inlineStr">
        <is>
          <t>PIL-MD</t>
        </is>
      </c>
      <c r="J124" s="20" t="n">
        <v>0.017</v>
      </c>
      <c r="K124" s="20" t="inlineStr">
        <is>
          <t>Ejecutado</t>
        </is>
      </c>
    </row>
    <row r="125">
      <c r="A125" s="20" t="n">
        <v>304490</v>
      </c>
      <c r="B125" s="20" t="inlineStr">
        <is>
          <t>3zZFx4xL53DPPCX6YmULVb</t>
        </is>
      </c>
      <c r="C125" s="20" t="inlineStr">
        <is>
          <t>BUILDINGELEMENTPROXY</t>
        </is>
      </c>
      <c r="D125" s="20" t="inlineStr">
        <is>
          <t>Tubo Metalico Ø50mm, Prueba UltraSonico:Tubo Metalico Ø50mm, Prueba UltraSonico L=38.425m:481577</t>
        </is>
      </c>
      <c r="E125" s="20" t="inlineStr">
        <is>
          <t>TB5</t>
        </is>
      </c>
      <c r="F125" s="20" t="inlineStr">
        <is>
          <t>Pilotes</t>
        </is>
      </c>
      <c r="G125" s="20" t="inlineStr">
        <is>
          <t>Margen Derecha</t>
        </is>
      </c>
      <c r="H125" s="20" t="inlineStr">
        <is>
          <t>Pilote</t>
        </is>
      </c>
      <c r="I125" s="20" t="inlineStr">
        <is>
          <t>PIL-MD</t>
        </is>
      </c>
      <c r="J125" s="20" t="n">
        <v>0.017</v>
      </c>
      <c r="K125" s="20" t="inlineStr">
        <is>
          <t>Ejecutado</t>
        </is>
      </c>
    </row>
    <row r="126">
      <c r="A126" s="20" t="n">
        <v>304518</v>
      </c>
      <c r="B126" s="20" t="inlineStr">
        <is>
          <t>3zZFx4xL53DPPCX6YmULVc</t>
        </is>
      </c>
      <c r="C126" s="20" t="inlineStr">
        <is>
          <t>BUILDINGELEMENTPROXY</t>
        </is>
      </c>
      <c r="D126" s="20" t="inlineStr">
        <is>
          <t>Tubo Metalico Ø50mm, Prueba UltraSonico:Tubo Metalico Ø50mm, Prueba UltraSonico L=38.425m:481578</t>
        </is>
      </c>
      <c r="E126" s="20" t="inlineStr">
        <is>
          <t>TB5</t>
        </is>
      </c>
      <c r="F126" s="20" t="inlineStr">
        <is>
          <t>Pilotes</t>
        </is>
      </c>
      <c r="G126" s="20" t="inlineStr">
        <is>
          <t>Margen Derecha</t>
        </is>
      </c>
      <c r="H126" s="20" t="inlineStr">
        <is>
          <t>Pilote</t>
        </is>
      </c>
      <c r="I126" s="20" t="inlineStr">
        <is>
          <t>PIL-MD</t>
        </is>
      </c>
      <c r="J126" s="20" t="n">
        <v>0.017</v>
      </c>
      <c r="K126" s="20" t="inlineStr">
        <is>
          <t>Ejecutado</t>
        </is>
      </c>
    </row>
    <row r="127">
      <c r="A127" s="20" t="n">
        <v>378086</v>
      </c>
      <c r="B127" s="20" t="inlineStr">
        <is>
          <t>3zZFx4xL53DPPCX6YmUL9L</t>
        </is>
      </c>
      <c r="C127" s="20" t="inlineStr">
        <is>
          <t>SLAB</t>
        </is>
      </c>
      <c r="D127" s="20" t="inlineStr">
        <is>
          <t>Estribos_Pilote:Pilote_D1500_H38000_fc280:482457</t>
        </is>
      </c>
      <c r="E127" s="20" t="inlineStr">
        <is>
          <t>ED-P9</t>
        </is>
      </c>
      <c r="F127" s="20" t="inlineStr">
        <is>
          <t>Pilotes</t>
        </is>
      </c>
      <c r="G127" s="20" t="inlineStr">
        <is>
          <t>Margen Derecha</t>
        </is>
      </c>
      <c r="H127" s="20" t="inlineStr">
        <is>
          <t>Pilote</t>
        </is>
      </c>
      <c r="I127" s="20" t="inlineStr">
        <is>
          <t>PIL-MD</t>
        </is>
      </c>
      <c r="J127" s="20" t="n">
        <v>67.152</v>
      </c>
      <c r="K127" s="20" t="inlineStr">
        <is>
          <t>Ejecutado</t>
        </is>
      </c>
    </row>
    <row r="128">
      <c r="A128" s="20" t="n">
        <v>407985</v>
      </c>
      <c r="B128" s="20" t="inlineStr">
        <is>
          <t>3zZFx4xL53DPPCX6YmULCd</t>
        </is>
      </c>
      <c r="C128" s="20" t="inlineStr">
        <is>
          <t>BUILDINGELEMENTPROXY</t>
        </is>
      </c>
      <c r="D128" s="20" t="inlineStr">
        <is>
          <t>Tubo Metalico Ø50mm, Prueba UltraSonico:Tubo Metalico Ø50mm, Prueba UltraSonico L=38.425m:482795</t>
        </is>
      </c>
      <c r="E128" s="20" t="inlineStr">
        <is>
          <t>TB5</t>
        </is>
      </c>
      <c r="F128" s="20" t="inlineStr">
        <is>
          <t>Pilotes</t>
        </is>
      </c>
      <c r="G128" s="20" t="inlineStr">
        <is>
          <t>Margen Derecha</t>
        </is>
      </c>
      <c r="H128" s="20" t="inlineStr">
        <is>
          <t>Pilote</t>
        </is>
      </c>
      <c r="I128" s="20" t="inlineStr">
        <is>
          <t>PIL-MD</t>
        </is>
      </c>
      <c r="J128" s="20" t="n">
        <v>0.017</v>
      </c>
      <c r="K128" s="20" t="inlineStr">
        <is>
          <t>Ejecutado</t>
        </is>
      </c>
    </row>
    <row r="129">
      <c r="A129" s="20" t="n">
        <v>408013</v>
      </c>
      <c r="B129" s="20" t="inlineStr">
        <is>
          <t>3zZFx4xL53DPPCX6YmULCW</t>
        </is>
      </c>
      <c r="C129" s="20" t="inlineStr">
        <is>
          <t>BUILDINGELEMENTPROXY</t>
        </is>
      </c>
      <c r="D129" s="20" t="inlineStr">
        <is>
          <t>Tubo Metalico Ø50mm, Prueba UltraSonico:Tubo Metalico Ø50mm, Prueba UltraSonico L=38.425m:482796</t>
        </is>
      </c>
      <c r="E129" s="20" t="inlineStr">
        <is>
          <t>TB5</t>
        </is>
      </c>
      <c r="F129" s="20" t="inlineStr">
        <is>
          <t>Pilotes</t>
        </is>
      </c>
      <c r="G129" s="20" t="inlineStr">
        <is>
          <t>Margen Derecha</t>
        </is>
      </c>
      <c r="H129" s="20" t="inlineStr">
        <is>
          <t>Pilote</t>
        </is>
      </c>
      <c r="I129" s="20" t="inlineStr">
        <is>
          <t>PIL-MD</t>
        </is>
      </c>
      <c r="J129" s="20" t="n">
        <v>0.017</v>
      </c>
      <c r="K129" s="20" t="inlineStr">
        <is>
          <t>Ejecutado</t>
        </is>
      </c>
    </row>
    <row r="130">
      <c r="A130" s="20" t="n">
        <v>408041</v>
      </c>
      <c r="B130" s="20" t="inlineStr">
        <is>
          <t>3zZFx4xL53DPPCX6YmULCX</t>
        </is>
      </c>
      <c r="C130" s="20" t="inlineStr">
        <is>
          <t>BUILDINGELEMENTPROXY</t>
        </is>
      </c>
      <c r="D130" s="20" t="inlineStr">
        <is>
          <t>Tubo Metalico Ø50mm, Prueba UltraSonico:Tubo Metalico Ø50mm, Prueba UltraSonico L=38.425m:482797</t>
        </is>
      </c>
      <c r="E130" s="20" t="inlineStr">
        <is>
          <t>TB5</t>
        </is>
      </c>
      <c r="F130" s="20" t="inlineStr">
        <is>
          <t>Pilotes</t>
        </is>
      </c>
      <c r="G130" s="20" t="inlineStr">
        <is>
          <t>Margen Derecha</t>
        </is>
      </c>
      <c r="H130" s="20" t="inlineStr">
        <is>
          <t>Pilote</t>
        </is>
      </c>
      <c r="I130" s="20" t="inlineStr">
        <is>
          <t>PIL-MD</t>
        </is>
      </c>
      <c r="J130" s="20" t="n">
        <v>0.017</v>
      </c>
      <c r="K130" s="20" t="inlineStr">
        <is>
          <t>Ejecutado</t>
        </is>
      </c>
    </row>
    <row r="131">
      <c r="A131" s="20" t="n">
        <v>408069</v>
      </c>
      <c r="B131" s="20" t="inlineStr">
        <is>
          <t>3zZFx4xL53DPPCX6YmULCY</t>
        </is>
      </c>
      <c r="C131" s="20" t="inlineStr">
        <is>
          <t>BUILDINGELEMENTPROXY</t>
        </is>
      </c>
      <c r="D131" s="20" t="inlineStr">
        <is>
          <t>Tubo Metalico Ø50mm, Prueba UltraSonico:Tubo Metalico Ø50mm, Prueba UltraSonico L=38.425m:482798</t>
        </is>
      </c>
      <c r="E131" s="20" t="inlineStr">
        <is>
          <t>TB5</t>
        </is>
      </c>
      <c r="F131" s="20" t="inlineStr">
        <is>
          <t>Pilotes</t>
        </is>
      </c>
      <c r="G131" s="20" t="inlineStr">
        <is>
          <t>Margen Derecha</t>
        </is>
      </c>
      <c r="H131" s="20" t="inlineStr">
        <is>
          <t>Pilote</t>
        </is>
      </c>
      <c r="I131" s="20" t="inlineStr">
        <is>
          <t>PIL-MD</t>
        </is>
      </c>
      <c r="J131" s="20" t="n">
        <v>0.017</v>
      </c>
      <c r="K131" s="20" t="inlineStr">
        <is>
          <t>Ejecutado</t>
        </is>
      </c>
    </row>
    <row r="132">
      <c r="A132" s="20" t="n">
        <v>408101</v>
      </c>
      <c r="B132" s="20" t="inlineStr">
        <is>
          <t>3zZFx4xL53DPPCX6YmUL3E</t>
        </is>
      </c>
      <c r="C132" s="20" t="inlineStr">
        <is>
          <t>SLAB</t>
        </is>
      </c>
      <c r="D132" s="20" t="inlineStr">
        <is>
          <t>Estribos_Pilote:Pilote_D1500_H38000_fc280:482818</t>
        </is>
      </c>
      <c r="E132" s="20" t="inlineStr">
        <is>
          <t>ED-P14</t>
        </is>
      </c>
      <c r="F132" s="20" t="inlineStr">
        <is>
          <t>Pilotes</t>
        </is>
      </c>
      <c r="G132" s="20" t="inlineStr">
        <is>
          <t>Margen Derecha</t>
        </is>
      </c>
      <c r="H132" s="20" t="inlineStr">
        <is>
          <t>Pilote</t>
        </is>
      </c>
      <c r="I132" s="20" t="inlineStr">
        <is>
          <t>PIL-MD</t>
        </is>
      </c>
      <c r="J132" s="20" t="n">
        <v>67.152</v>
      </c>
      <c r="K132" s="20" t="inlineStr">
        <is>
          <t>Ejecutado</t>
        </is>
      </c>
    </row>
    <row r="133">
      <c r="A133" s="20" t="n">
        <v>438000</v>
      </c>
      <c r="B133" s="20" t="inlineStr">
        <is>
          <t>3zZFx4xL53DPPCX6YmUL6O</t>
        </is>
      </c>
      <c r="C133" s="20" t="inlineStr">
        <is>
          <t>BUILDINGELEMENTPROXY</t>
        </is>
      </c>
      <c r="D133" s="20" t="inlineStr">
        <is>
          <t>Tubo Metalico Ø50mm, Prueba UltraSonico:Tubo Metalico Ø50mm, Prueba UltraSonico L=38.425m:483156</t>
        </is>
      </c>
      <c r="E133" s="20" t="inlineStr">
        <is>
          <t>TB5</t>
        </is>
      </c>
      <c r="F133" s="20" t="inlineStr">
        <is>
          <t>Pilotes</t>
        </is>
      </c>
      <c r="G133" s="20" t="inlineStr">
        <is>
          <t>Margen Derecha</t>
        </is>
      </c>
      <c r="H133" s="20" t="inlineStr">
        <is>
          <t>Pilote</t>
        </is>
      </c>
      <c r="I133" s="20" t="inlineStr">
        <is>
          <t>PIL-MD</t>
        </is>
      </c>
      <c r="J133" s="20" t="n">
        <v>0.017</v>
      </c>
      <c r="K133" s="20" t="inlineStr">
        <is>
          <t>Ejecutado</t>
        </is>
      </c>
    </row>
    <row r="134">
      <c r="A134" s="20" t="n">
        <v>438028</v>
      </c>
      <c r="B134" s="20" t="inlineStr">
        <is>
          <t>3zZFx4xL53DPPCX6YmUL6P</t>
        </is>
      </c>
      <c r="C134" s="20" t="inlineStr">
        <is>
          <t>BUILDINGELEMENTPROXY</t>
        </is>
      </c>
      <c r="D134" s="20" t="inlineStr">
        <is>
          <t>Tubo Metalico Ø50mm, Prueba UltraSonico:Tubo Metalico Ø50mm, Prueba UltraSonico L=38.425m:483157</t>
        </is>
      </c>
      <c r="E134" s="20" t="inlineStr">
        <is>
          <t>TB5</t>
        </is>
      </c>
      <c r="F134" s="20" t="inlineStr">
        <is>
          <t>Pilotes</t>
        </is>
      </c>
      <c r="G134" s="20" t="inlineStr">
        <is>
          <t>Margen Derecha</t>
        </is>
      </c>
      <c r="H134" s="20" t="inlineStr">
        <is>
          <t>Pilote</t>
        </is>
      </c>
      <c r="I134" s="20" t="inlineStr">
        <is>
          <t>PIL-MD</t>
        </is>
      </c>
      <c r="J134" s="20" t="n">
        <v>0.017</v>
      </c>
      <c r="K134" s="20" t="inlineStr">
        <is>
          <t>Ejecutado</t>
        </is>
      </c>
    </row>
    <row r="135">
      <c r="A135" s="20" t="n">
        <v>438056</v>
      </c>
      <c r="B135" s="20" t="inlineStr">
        <is>
          <t>3zZFx4xL53DPPCX6YmUL6Q</t>
        </is>
      </c>
      <c r="C135" s="20" t="inlineStr">
        <is>
          <t>BUILDINGELEMENTPROXY</t>
        </is>
      </c>
      <c r="D135" s="20" t="inlineStr">
        <is>
          <t>Tubo Metalico Ø50mm, Prueba UltraSonico:Tubo Metalico Ø50mm, Prueba UltraSonico L=38.425m:483158</t>
        </is>
      </c>
      <c r="E135" s="20" t="inlineStr">
        <is>
          <t>TB5</t>
        </is>
      </c>
      <c r="F135" s="20" t="inlineStr">
        <is>
          <t>Pilotes</t>
        </is>
      </c>
      <c r="G135" s="20" t="inlineStr">
        <is>
          <t>Margen Derecha</t>
        </is>
      </c>
      <c r="H135" s="20" t="inlineStr">
        <is>
          <t>Pilote</t>
        </is>
      </c>
      <c r="I135" s="20" t="inlineStr">
        <is>
          <t>PIL-MD</t>
        </is>
      </c>
      <c r="J135" s="20" t="n">
        <v>0.017</v>
      </c>
      <c r="K135" s="20" t="inlineStr">
        <is>
          <t>Ejecutado</t>
        </is>
      </c>
    </row>
    <row r="136">
      <c r="A136" s="20" t="n">
        <v>438084</v>
      </c>
      <c r="B136" s="20" t="inlineStr">
        <is>
          <t>3zZFx4xL53DPPCX6YmUL6R</t>
        </is>
      </c>
      <c r="C136" s="20" t="inlineStr">
        <is>
          <t>BUILDINGELEMENTPROXY</t>
        </is>
      </c>
      <c r="D136" s="20" t="inlineStr">
        <is>
          <t>Tubo Metalico Ø50mm, Prueba UltraSonico:Tubo Metalico Ø50mm, Prueba UltraSonico L=38.425m:483159</t>
        </is>
      </c>
      <c r="E136" s="20" t="inlineStr">
        <is>
          <t>TB5</t>
        </is>
      </c>
      <c r="F136" s="20" t="inlineStr">
        <is>
          <t>Pilotes</t>
        </is>
      </c>
      <c r="G136" s="20" t="inlineStr">
        <is>
          <t>Margen Derecha</t>
        </is>
      </c>
      <c r="H136" s="20" t="inlineStr">
        <is>
          <t>Pilote</t>
        </is>
      </c>
      <c r="I136" s="20" t="inlineStr">
        <is>
          <t>PIL-MD</t>
        </is>
      </c>
      <c r="J136" s="20" t="n">
        <v>0.017</v>
      </c>
      <c r="K136" s="20" t="inlineStr">
        <is>
          <t>Ejecutado</t>
        </is>
      </c>
    </row>
    <row r="137">
      <c r="A137" s="20" t="n">
        <v>438116</v>
      </c>
      <c r="B137" s="20" t="inlineStr">
        <is>
          <t>3zZFx4xL53DPPCX6YmUL4C</t>
        </is>
      </c>
      <c r="C137" s="20" t="inlineStr">
        <is>
          <t>SLAB</t>
        </is>
      </c>
      <c r="D137" s="20" t="inlineStr">
        <is>
          <t>Estribos_Pilote:Pilote_D1500_H38000_fc280:483264</t>
        </is>
      </c>
      <c r="E137" s="20" t="inlineStr">
        <is>
          <t>ED-P2</t>
        </is>
      </c>
      <c r="F137" s="20" t="inlineStr">
        <is>
          <t>Pilotes</t>
        </is>
      </c>
      <c r="G137" s="20" t="inlineStr">
        <is>
          <t>Margen Derecha</t>
        </is>
      </c>
      <c r="H137" s="20" t="inlineStr">
        <is>
          <t>Pilote</t>
        </is>
      </c>
      <c r="I137" s="20" t="inlineStr">
        <is>
          <t>PIL-MD</t>
        </is>
      </c>
      <c r="J137" s="20" t="n">
        <v>67.152</v>
      </c>
      <c r="K137" s="20" t="inlineStr">
        <is>
          <t>Ejecutado</t>
        </is>
      </c>
    </row>
    <row r="138">
      <c r="A138" s="20" t="n">
        <v>468015</v>
      </c>
      <c r="B138" s="20" t="inlineStr">
        <is>
          <t>3zZFx4xL53DPPCX6YmUM$U</t>
        </is>
      </c>
      <c r="C138" s="20" t="inlineStr">
        <is>
          <t>BUILDINGELEMENTPROXY</t>
        </is>
      </c>
      <c r="D138" s="20" t="inlineStr">
        <is>
          <t>Tubo Metalico Ø50mm, Prueba UltraSonico:Tubo Metalico Ø50mm, Prueba UltraSonico L=38.425m:483602</t>
        </is>
      </c>
      <c r="E138" s="20" t="inlineStr">
        <is>
          <t>TB5</t>
        </is>
      </c>
      <c r="F138" s="20" t="inlineStr">
        <is>
          <t>Pilotes</t>
        </is>
      </c>
      <c r="G138" s="20" t="inlineStr">
        <is>
          <t>Margen Derecha</t>
        </is>
      </c>
      <c r="H138" s="20" t="inlineStr">
        <is>
          <t>Pilote</t>
        </is>
      </c>
      <c r="I138" s="20" t="inlineStr">
        <is>
          <t>PIL-MD</t>
        </is>
      </c>
      <c r="J138" s="20" t="n">
        <v>0.017</v>
      </c>
      <c r="K138" s="20" t="inlineStr">
        <is>
          <t>Ejecutado</t>
        </is>
      </c>
    </row>
    <row r="139">
      <c r="A139" s="20" t="n">
        <v>468043</v>
      </c>
      <c r="B139" s="20" t="inlineStr">
        <is>
          <t>3zZFx4xL53DPPCX6YmUM$V</t>
        </is>
      </c>
      <c r="C139" s="20" t="inlineStr">
        <is>
          <t>BUILDINGELEMENTPROXY</t>
        </is>
      </c>
      <c r="D139" s="20" t="inlineStr">
        <is>
          <t>Tubo Metalico Ø50mm, Prueba UltraSonico:Tubo Metalico Ø50mm, Prueba UltraSonico L=38.425m:483603</t>
        </is>
      </c>
      <c r="E139" s="20" t="inlineStr">
        <is>
          <t>TB5</t>
        </is>
      </c>
      <c r="F139" s="20" t="inlineStr">
        <is>
          <t>Pilotes</t>
        </is>
      </c>
      <c r="G139" s="20" t="inlineStr">
        <is>
          <t>Margen Derecha</t>
        </is>
      </c>
      <c r="H139" s="20" t="inlineStr">
        <is>
          <t>Pilote</t>
        </is>
      </c>
      <c r="I139" s="20" t="inlineStr">
        <is>
          <t>PIL-MD</t>
        </is>
      </c>
      <c r="J139" s="20" t="n">
        <v>0.017</v>
      </c>
      <c r="K139" s="20" t="inlineStr">
        <is>
          <t>Ejecutado</t>
        </is>
      </c>
    </row>
    <row r="140">
      <c r="A140" s="20" t="n">
        <v>468071</v>
      </c>
      <c r="B140" s="20" t="inlineStr">
        <is>
          <t>3zZFx4xL53DPPCX6YmUM$O</t>
        </is>
      </c>
      <c r="C140" s="20" t="inlineStr">
        <is>
          <t>BUILDINGELEMENTPROXY</t>
        </is>
      </c>
      <c r="D140" s="20" t="inlineStr">
        <is>
          <t>Tubo Metalico Ø50mm, Prueba UltraSonico:Tubo Metalico Ø50mm, Prueba UltraSonico L=38.425m:483604</t>
        </is>
      </c>
      <c r="E140" s="20" t="inlineStr">
        <is>
          <t>TB5</t>
        </is>
      </c>
      <c r="F140" s="20" t="inlineStr">
        <is>
          <t>Pilotes</t>
        </is>
      </c>
      <c r="G140" s="20" t="inlineStr">
        <is>
          <t>Margen Derecha</t>
        </is>
      </c>
      <c r="H140" s="20" t="inlineStr">
        <is>
          <t>Pilote</t>
        </is>
      </c>
      <c r="I140" s="20" t="inlineStr">
        <is>
          <t>PIL-MD</t>
        </is>
      </c>
      <c r="J140" s="20" t="n">
        <v>0.017</v>
      </c>
      <c r="K140" s="20" t="inlineStr">
        <is>
          <t>Ejecutado</t>
        </is>
      </c>
    </row>
    <row r="141">
      <c r="A141" s="20" t="n">
        <v>468099</v>
      </c>
      <c r="B141" s="20" t="inlineStr">
        <is>
          <t>3zZFx4xL53DPPCX6YmUM$P</t>
        </is>
      </c>
      <c r="C141" s="20" t="inlineStr">
        <is>
          <t>BUILDINGELEMENTPROXY</t>
        </is>
      </c>
      <c r="D141" s="20" t="inlineStr">
        <is>
          <t>Tubo Metalico Ø50mm, Prueba UltraSonico:Tubo Metalico Ø50mm, Prueba UltraSonico L=38.425m:483605</t>
        </is>
      </c>
      <c r="E141" s="20" t="inlineStr">
        <is>
          <t>TB5</t>
        </is>
      </c>
      <c r="F141" s="20" t="inlineStr">
        <is>
          <t>Pilotes</t>
        </is>
      </c>
      <c r="G141" s="20" t="inlineStr">
        <is>
          <t>Margen Derecha</t>
        </is>
      </c>
      <c r="H141" s="20" t="inlineStr">
        <is>
          <t>Pilote</t>
        </is>
      </c>
      <c r="I141" s="20" t="inlineStr">
        <is>
          <t>PIL-MD</t>
        </is>
      </c>
      <c r="J141" s="20" t="n">
        <v>0.017</v>
      </c>
      <c r="K141" s="20" t="inlineStr">
        <is>
          <t>Ejecutado</t>
        </is>
      </c>
    </row>
    <row r="142">
      <c r="A142" s="20" t="n">
        <v>541667</v>
      </c>
      <c r="B142" s="20" t="inlineStr">
        <is>
          <t>3zZFx4xL53DPPCX6YmUMhb</t>
        </is>
      </c>
      <c r="C142" s="20" t="inlineStr">
        <is>
          <t>SLAB</t>
        </is>
      </c>
      <c r="D142" s="20" t="inlineStr">
        <is>
          <t>Estribos_Pilote:Pilote_D1500_H38000_fc280:484393</t>
        </is>
      </c>
      <c r="E142" s="20" t="inlineStr">
        <is>
          <t>ED-P7</t>
        </is>
      </c>
      <c r="F142" s="20" t="inlineStr">
        <is>
          <t>Pilotes</t>
        </is>
      </c>
      <c r="G142" s="20" t="inlineStr">
        <is>
          <t>Margen Derecha</t>
        </is>
      </c>
      <c r="H142" s="20" t="inlineStr">
        <is>
          <t>Pilote</t>
        </is>
      </c>
      <c r="I142" s="20" t="inlineStr">
        <is>
          <t>PIL-MD</t>
        </is>
      </c>
      <c r="J142" s="20" t="n">
        <v>67.152</v>
      </c>
      <c r="K142" s="20" t="inlineStr">
        <is>
          <t>Ejecutado</t>
        </is>
      </c>
    </row>
    <row r="143">
      <c r="A143" s="20" t="n">
        <v>571566</v>
      </c>
      <c r="B143" s="20" t="inlineStr">
        <is>
          <t>3zZFx4xL53DPPCX6YmUMkt</t>
        </is>
      </c>
      <c r="C143" s="20" t="inlineStr">
        <is>
          <t>BUILDINGELEMENTPROXY</t>
        </is>
      </c>
      <c r="D143" s="20" t="inlineStr">
        <is>
          <t>Tubo Metalico Ø50mm, Prueba UltraSonico:Tubo Metalico Ø50mm, Prueba UltraSonico L=38.425m:484731</t>
        </is>
      </c>
      <c r="E143" s="20" t="inlineStr">
        <is>
          <t>TB5</t>
        </is>
      </c>
      <c r="F143" s="20" t="inlineStr">
        <is>
          <t>Pilotes</t>
        </is>
      </c>
      <c r="G143" s="20" t="inlineStr">
        <is>
          <t>Margen Derecha</t>
        </is>
      </c>
      <c r="H143" s="20" t="inlineStr">
        <is>
          <t>Pilote</t>
        </is>
      </c>
      <c r="I143" s="20" t="inlineStr">
        <is>
          <t>PIL-MD</t>
        </is>
      </c>
      <c r="J143" s="20" t="n">
        <v>0.017</v>
      </c>
      <c r="K143" s="20" t="inlineStr">
        <is>
          <t>Ejecutado</t>
        </is>
      </c>
    </row>
    <row r="144">
      <c r="A144" s="20" t="n">
        <v>571594</v>
      </c>
      <c r="B144" s="20" t="inlineStr">
        <is>
          <t>3zZFx4xL53DPPCX6YmUMkm</t>
        </is>
      </c>
      <c r="C144" s="20" t="inlineStr">
        <is>
          <t>BUILDINGELEMENTPROXY</t>
        </is>
      </c>
      <c r="D144" s="20" t="inlineStr">
        <is>
          <t>Tubo Metalico Ø50mm, Prueba UltraSonico:Tubo Metalico Ø50mm, Prueba UltraSonico L=38.425m:484732</t>
        </is>
      </c>
      <c r="E144" s="20" t="inlineStr">
        <is>
          <t>TB5</t>
        </is>
      </c>
      <c r="F144" s="20" t="inlineStr">
        <is>
          <t>Pilotes</t>
        </is>
      </c>
      <c r="G144" s="20" t="inlineStr">
        <is>
          <t>Margen Derecha</t>
        </is>
      </c>
      <c r="H144" s="20" t="inlineStr">
        <is>
          <t>Pilote</t>
        </is>
      </c>
      <c r="I144" s="20" t="inlineStr">
        <is>
          <t>PIL-MD</t>
        </is>
      </c>
      <c r="J144" s="20" t="n">
        <v>0.017</v>
      </c>
      <c r="K144" s="20" t="inlineStr">
        <is>
          <t>Ejecutado</t>
        </is>
      </c>
    </row>
    <row r="145">
      <c r="A145" s="20" t="n">
        <v>571622</v>
      </c>
      <c r="B145" s="20" t="inlineStr">
        <is>
          <t>3zZFx4xL53DPPCX6YmUMkn</t>
        </is>
      </c>
      <c r="C145" s="20" t="inlineStr">
        <is>
          <t>BUILDINGELEMENTPROXY</t>
        </is>
      </c>
      <c r="D145" s="20" t="inlineStr">
        <is>
          <t>Tubo Metalico Ø50mm, Prueba UltraSonico:Tubo Metalico Ø50mm, Prueba UltraSonico L=38.425m:484733</t>
        </is>
      </c>
      <c r="E145" s="20" t="inlineStr">
        <is>
          <t>TB5</t>
        </is>
      </c>
      <c r="F145" s="20" t="inlineStr">
        <is>
          <t>Pilotes</t>
        </is>
      </c>
      <c r="G145" s="20" t="inlineStr">
        <is>
          <t>Margen Derecha</t>
        </is>
      </c>
      <c r="H145" s="20" t="inlineStr">
        <is>
          <t>Pilote</t>
        </is>
      </c>
      <c r="I145" s="20" t="inlineStr">
        <is>
          <t>PIL-MD</t>
        </is>
      </c>
      <c r="J145" s="20" t="n">
        <v>0.017</v>
      </c>
      <c r="K145" s="20" t="inlineStr">
        <is>
          <t>Ejecutado</t>
        </is>
      </c>
    </row>
    <row r="146">
      <c r="A146" s="20" t="n">
        <v>571650</v>
      </c>
      <c r="B146" s="20" t="inlineStr">
        <is>
          <t>3zZFx4xL53DPPCX6YmUMko</t>
        </is>
      </c>
      <c r="C146" s="20" t="inlineStr">
        <is>
          <t>BUILDINGELEMENTPROXY</t>
        </is>
      </c>
      <c r="D146" s="20" t="inlineStr">
        <is>
          <t>Tubo Metalico Ø50mm, Prueba UltraSonico:Tubo Metalico Ø50mm, Prueba UltraSonico L=38.425m:484734</t>
        </is>
      </c>
      <c r="E146" s="20" t="inlineStr">
        <is>
          <t>TB5</t>
        </is>
      </c>
      <c r="F146" s="20" t="inlineStr">
        <is>
          <t>Pilotes</t>
        </is>
      </c>
      <c r="G146" s="20" t="inlineStr">
        <is>
          <t>Margen Derecha</t>
        </is>
      </c>
      <c r="H146" s="20" t="inlineStr">
        <is>
          <t>Pilote</t>
        </is>
      </c>
      <c r="I146" s="20" t="inlineStr">
        <is>
          <t>PIL-MD</t>
        </is>
      </c>
      <c r="J146" s="20" t="n">
        <v>0.017</v>
      </c>
      <c r="K146" s="20" t="inlineStr">
        <is>
          <t>Ejecutado</t>
        </is>
      </c>
    </row>
    <row r="147">
      <c r="A147" s="20" t="n">
        <v>571682</v>
      </c>
      <c r="B147" s="20" t="inlineStr">
        <is>
          <t>3zZFx4xL53DPPCX6YmUMjC</t>
        </is>
      </c>
      <c r="C147" s="20" t="inlineStr">
        <is>
          <t>SLAB</t>
        </is>
      </c>
      <c r="D147" s="20" t="inlineStr">
        <is>
          <t>Estribos_Pilote:Pilote_D1500_H38000_fc280:484736</t>
        </is>
      </c>
      <c r="E147" s="20" t="inlineStr">
        <is>
          <t>ED-P12</t>
        </is>
      </c>
      <c r="F147" s="20" t="inlineStr">
        <is>
          <t>Pilotes</t>
        </is>
      </c>
      <c r="G147" s="20" t="inlineStr">
        <is>
          <t>Margen Derecha</t>
        </is>
      </c>
      <c r="H147" s="20" t="inlineStr">
        <is>
          <t>Pilote</t>
        </is>
      </c>
      <c r="I147" s="20" t="inlineStr">
        <is>
          <t>PIL-MD</t>
        </is>
      </c>
      <c r="J147" s="20" t="n">
        <v>67.152</v>
      </c>
      <c r="K147" s="20" t="inlineStr">
        <is>
          <t>Ejecutado</t>
        </is>
      </c>
    </row>
    <row r="148">
      <c r="A148" s="20" t="n">
        <v>601581</v>
      </c>
      <c r="B148" s="20" t="inlineStr">
        <is>
          <t>3zZFx4xL53DPPCX6YmUMWU</t>
        </is>
      </c>
      <c r="C148" s="20" t="inlineStr">
        <is>
          <t>BUILDINGELEMENTPROXY</t>
        </is>
      </c>
      <c r="D148" s="20" t="inlineStr">
        <is>
          <t>Tubo Metalico Ø50mm, Prueba UltraSonico:Tubo Metalico Ø50mm, Prueba UltraSonico L=38.425m:485074</t>
        </is>
      </c>
      <c r="E148" s="20" t="inlineStr">
        <is>
          <t>TB5</t>
        </is>
      </c>
      <c r="F148" s="20" t="inlineStr">
        <is>
          <t>Pilotes</t>
        </is>
      </c>
      <c r="G148" s="20" t="inlineStr">
        <is>
          <t>Margen Derecha</t>
        </is>
      </c>
      <c r="H148" s="20" t="inlineStr">
        <is>
          <t>Pilote</t>
        </is>
      </c>
      <c r="I148" s="20" t="inlineStr">
        <is>
          <t>PIL-MD</t>
        </is>
      </c>
      <c r="J148" s="20" t="n">
        <v>0.017</v>
      </c>
      <c r="K148" s="20" t="inlineStr">
        <is>
          <t>Ejecutado</t>
        </is>
      </c>
    </row>
    <row r="149">
      <c r="A149" s="20" t="n">
        <v>601609</v>
      </c>
      <c r="B149" s="20" t="inlineStr">
        <is>
          <t>3zZFx4xL53DPPCX6YmUMWV</t>
        </is>
      </c>
      <c r="C149" s="20" t="inlineStr">
        <is>
          <t>BUILDINGELEMENTPROXY</t>
        </is>
      </c>
      <c r="D149" s="20" t="inlineStr">
        <is>
          <t>Tubo Metalico Ø50mm, Prueba UltraSonico:Tubo Metalico Ø50mm, Prueba UltraSonico L=38.425m:485075</t>
        </is>
      </c>
      <c r="E149" s="20" t="inlineStr">
        <is>
          <t>TB5</t>
        </is>
      </c>
      <c r="F149" s="20" t="inlineStr">
        <is>
          <t>Pilotes</t>
        </is>
      </c>
      <c r="G149" s="20" t="inlineStr">
        <is>
          <t>Margen Derecha</t>
        </is>
      </c>
      <c r="H149" s="20" t="inlineStr">
        <is>
          <t>Pilote</t>
        </is>
      </c>
      <c r="I149" s="20" t="inlineStr">
        <is>
          <t>PIL-MD</t>
        </is>
      </c>
      <c r="J149" s="20" t="n">
        <v>0.017</v>
      </c>
      <c r="K149" s="20" t="inlineStr">
        <is>
          <t>Ejecutado</t>
        </is>
      </c>
    </row>
    <row r="150">
      <c r="A150" s="20" t="n">
        <v>601637</v>
      </c>
      <c r="B150" s="20" t="inlineStr">
        <is>
          <t>3zZFx4xL53DPPCX6YmUMWO</t>
        </is>
      </c>
      <c r="C150" s="20" t="inlineStr">
        <is>
          <t>BUILDINGELEMENTPROXY</t>
        </is>
      </c>
      <c r="D150" s="20" t="inlineStr">
        <is>
          <t>Tubo Metalico Ø50mm, Prueba UltraSonico:Tubo Metalico Ø50mm, Prueba UltraSonico L=38.425m:485076</t>
        </is>
      </c>
      <c r="E150" s="20" t="inlineStr">
        <is>
          <t>TB5</t>
        </is>
      </c>
      <c r="F150" s="20" t="inlineStr">
        <is>
          <t>Pilotes</t>
        </is>
      </c>
      <c r="G150" s="20" t="inlineStr">
        <is>
          <t>Margen Derecha</t>
        </is>
      </c>
      <c r="H150" s="20" t="inlineStr">
        <is>
          <t>Pilote</t>
        </is>
      </c>
      <c r="I150" s="20" t="inlineStr">
        <is>
          <t>PIL-MD</t>
        </is>
      </c>
      <c r="J150" s="20" t="n">
        <v>0.017</v>
      </c>
      <c r="K150" s="20" t="inlineStr">
        <is>
          <t>Ejecutado</t>
        </is>
      </c>
    </row>
    <row r="151">
      <c r="A151" s="20" t="n">
        <v>601665</v>
      </c>
      <c r="B151" s="20" t="inlineStr">
        <is>
          <t>3zZFx4xL53DPPCX6YmUMWP</t>
        </is>
      </c>
      <c r="C151" s="20" t="inlineStr">
        <is>
          <t>BUILDINGELEMENTPROXY</t>
        </is>
      </c>
      <c r="D151" s="20" t="inlineStr">
        <is>
          <t>Tubo Metalico Ø50mm, Prueba UltraSonico:Tubo Metalico Ø50mm, Prueba UltraSonico L=38.425m:485077</t>
        </is>
      </c>
      <c r="E151" s="20" t="inlineStr">
        <is>
          <t>TB5</t>
        </is>
      </c>
      <c r="F151" s="20" t="inlineStr">
        <is>
          <t>Pilotes</t>
        </is>
      </c>
      <c r="G151" s="20" t="inlineStr">
        <is>
          <t>Margen Derecha</t>
        </is>
      </c>
      <c r="H151" s="20" t="inlineStr">
        <is>
          <t>Pilote</t>
        </is>
      </c>
      <c r="I151" s="20" t="inlineStr">
        <is>
          <t>PIL-MD</t>
        </is>
      </c>
      <c r="J151" s="20" t="n">
        <v>0.017</v>
      </c>
      <c r="K151" s="20" t="inlineStr">
        <is>
          <t>Ejecutado</t>
        </is>
      </c>
    </row>
    <row r="152">
      <c r="A152" s="20" t="n">
        <v>601697</v>
      </c>
      <c r="B152" s="20" t="inlineStr">
        <is>
          <t>3zZFx4xL53DPPCX6YmUMWu</t>
        </is>
      </c>
      <c r="C152" s="20" t="inlineStr">
        <is>
          <t>SLAB</t>
        </is>
      </c>
      <c r="D152" s="20" t="inlineStr">
        <is>
          <t>Estribos_Pilote:Pilote_D1500_H38000_fc280:485108</t>
        </is>
      </c>
      <c r="E152" s="20" t="inlineStr">
        <is>
          <t>ED-P5</t>
        </is>
      </c>
      <c r="F152" s="20" t="inlineStr">
        <is>
          <t>Pilotes</t>
        </is>
      </c>
      <c r="G152" s="20" t="inlineStr">
        <is>
          <t>Margen Derecha</t>
        </is>
      </c>
      <c r="H152" s="20" t="inlineStr">
        <is>
          <t>Pilote</t>
        </is>
      </c>
      <c r="I152" s="20" t="inlineStr">
        <is>
          <t>PIL-MD</t>
        </is>
      </c>
      <c r="J152" s="20" t="n">
        <v>67.152</v>
      </c>
      <c r="K152" s="20" t="inlineStr">
        <is>
          <t>Ejecutado</t>
        </is>
      </c>
    </row>
    <row r="153">
      <c r="A153" s="20" t="n">
        <v>631596</v>
      </c>
      <c r="B153" s="20" t="inlineStr">
        <is>
          <t>3zZFx4xL53DPPCX6YmUMQA</t>
        </is>
      </c>
      <c r="C153" s="20" t="inlineStr">
        <is>
          <t>BUILDINGELEMENTPROXY</t>
        </is>
      </c>
      <c r="D153" s="20" t="inlineStr">
        <is>
          <t>Tubo Metalico Ø50mm, Prueba UltraSonico:Tubo Metalico Ø50mm, Prueba UltraSonico L=38.425m:485446</t>
        </is>
      </c>
      <c r="E153" s="20" t="inlineStr">
        <is>
          <t>TB5</t>
        </is>
      </c>
      <c r="F153" s="20" t="inlineStr">
        <is>
          <t>Pilotes</t>
        </is>
      </c>
      <c r="G153" s="20" t="inlineStr">
        <is>
          <t>Margen Derecha</t>
        </is>
      </c>
      <c r="H153" s="20" t="inlineStr">
        <is>
          <t>Pilote</t>
        </is>
      </c>
      <c r="I153" s="20" t="inlineStr">
        <is>
          <t>PIL-MD</t>
        </is>
      </c>
      <c r="J153" s="20" t="n">
        <v>0.017</v>
      </c>
      <c r="K153" s="20" t="inlineStr">
        <is>
          <t>Ejecutado</t>
        </is>
      </c>
    </row>
    <row r="154">
      <c r="A154" s="20" t="n">
        <v>631624</v>
      </c>
      <c r="B154" s="20" t="inlineStr">
        <is>
          <t>3zZFx4xL53DPPCX6YmUMQB</t>
        </is>
      </c>
      <c r="C154" s="20" t="inlineStr">
        <is>
          <t>BUILDINGELEMENTPROXY</t>
        </is>
      </c>
      <c r="D154" s="20" t="inlineStr">
        <is>
          <t>Tubo Metalico Ø50mm, Prueba UltraSonico:Tubo Metalico Ø50mm, Prueba UltraSonico L=38.425m:485447</t>
        </is>
      </c>
      <c r="E154" s="20" t="inlineStr">
        <is>
          <t>TB5</t>
        </is>
      </c>
      <c r="F154" s="20" t="inlineStr">
        <is>
          <t>Pilotes</t>
        </is>
      </c>
      <c r="G154" s="20" t="inlineStr">
        <is>
          <t>Margen Derecha</t>
        </is>
      </c>
      <c r="H154" s="20" t="inlineStr">
        <is>
          <t>Pilote</t>
        </is>
      </c>
      <c r="I154" s="20" t="inlineStr">
        <is>
          <t>PIL-MD</t>
        </is>
      </c>
      <c r="J154" s="20" t="n">
        <v>0.017</v>
      </c>
      <c r="K154" s="20" t="inlineStr">
        <is>
          <t>Ejecutado</t>
        </is>
      </c>
    </row>
    <row r="155">
      <c r="A155" s="20" t="n">
        <v>631652</v>
      </c>
      <c r="B155" s="20" t="inlineStr">
        <is>
          <t>3zZFx4xL53DPPCX6YmUMQ4</t>
        </is>
      </c>
      <c r="C155" s="20" t="inlineStr">
        <is>
          <t>BUILDINGELEMENTPROXY</t>
        </is>
      </c>
      <c r="D155" s="20" t="inlineStr">
        <is>
          <t>Tubo Metalico Ø50mm, Prueba UltraSonico:Tubo Metalico Ø50mm, Prueba UltraSonico L=38.425m:485448</t>
        </is>
      </c>
      <c r="E155" s="20" t="inlineStr">
        <is>
          <t>TB5</t>
        </is>
      </c>
      <c r="F155" s="20" t="inlineStr">
        <is>
          <t>Pilotes</t>
        </is>
      </c>
      <c r="G155" s="20" t="inlineStr">
        <is>
          <t>Margen Derecha</t>
        </is>
      </c>
      <c r="H155" s="20" t="inlineStr">
        <is>
          <t>Pilote</t>
        </is>
      </c>
      <c r="I155" s="20" t="inlineStr">
        <is>
          <t>PIL-MD</t>
        </is>
      </c>
      <c r="J155" s="20" t="n">
        <v>0.017</v>
      </c>
      <c r="K155" s="20" t="inlineStr">
        <is>
          <t>Ejecutado</t>
        </is>
      </c>
    </row>
    <row r="156">
      <c r="A156" s="20" t="n">
        <v>631680</v>
      </c>
      <c r="B156" s="20" t="inlineStr">
        <is>
          <t>3zZFx4xL53DPPCX6YmUMQ5</t>
        </is>
      </c>
      <c r="C156" s="20" t="inlineStr">
        <is>
          <t>BUILDINGELEMENTPROXY</t>
        </is>
      </c>
      <c r="D156" s="20" t="inlineStr">
        <is>
          <t>Tubo Metalico Ø50mm, Prueba UltraSonico:Tubo Metalico Ø50mm, Prueba UltraSonico L=38.425m:485449</t>
        </is>
      </c>
      <c r="E156" s="20" t="inlineStr">
        <is>
          <t>TB5</t>
        </is>
      </c>
      <c r="F156" s="20" t="inlineStr">
        <is>
          <t>Pilotes</t>
        </is>
      </c>
      <c r="G156" s="20" t="inlineStr">
        <is>
          <t>Margen Derecha</t>
        </is>
      </c>
      <c r="H156" s="20" t="inlineStr">
        <is>
          <t>Pilote</t>
        </is>
      </c>
      <c r="I156" s="20" t="inlineStr">
        <is>
          <t>PIL-MD</t>
        </is>
      </c>
      <c r="J156" s="20" t="n">
        <v>0.017</v>
      </c>
      <c r="K156" s="20" t="inlineStr">
        <is>
          <t>Ejecutado</t>
        </is>
      </c>
    </row>
    <row r="157">
      <c r="A157" s="20" t="n">
        <v>705248</v>
      </c>
      <c r="B157" s="20" t="inlineStr">
        <is>
          <t>3zZFx4xL53DPPCX6YmUMMH</t>
        </is>
      </c>
      <c r="C157" s="20" t="inlineStr">
        <is>
          <t>SLAB</t>
        </is>
      </c>
      <c r="D157" s="20" t="inlineStr">
        <is>
          <t>Estribos_Pilote:Pilote_D1500_H38000_fc280:486237</t>
        </is>
      </c>
      <c r="E157" s="20" t="inlineStr">
        <is>
          <t>ED-P10</t>
        </is>
      </c>
      <c r="F157" s="20" t="inlineStr">
        <is>
          <t>Pilotes</t>
        </is>
      </c>
      <c r="G157" s="20" t="inlineStr">
        <is>
          <t>Margen Derecha</t>
        </is>
      </c>
      <c r="H157" s="20" t="inlineStr">
        <is>
          <t>Pilote</t>
        </is>
      </c>
      <c r="I157" s="20" t="inlineStr">
        <is>
          <t>PIL-MD</t>
        </is>
      </c>
      <c r="J157" s="20" t="n">
        <v>67.152</v>
      </c>
      <c r="K157" s="20" t="inlineStr">
        <is>
          <t>Ejecutado</t>
        </is>
      </c>
    </row>
    <row r="158">
      <c r="A158" s="20" t="n">
        <v>735147</v>
      </c>
      <c r="B158" s="20" t="inlineStr">
        <is>
          <t>3zZFx4xL53DPPCX6YmUM9Z</t>
        </is>
      </c>
      <c r="C158" s="20" t="inlineStr">
        <is>
          <t>BUILDINGELEMENTPROXY</t>
        </is>
      </c>
      <c r="D158" s="20" t="inlineStr">
        <is>
          <t>Tubo Metalico Ø50mm, Prueba UltraSonico:Tubo Metalico Ø50mm, Prueba UltraSonico L=38.425m:486575</t>
        </is>
      </c>
      <c r="E158" s="20" t="inlineStr">
        <is>
          <t>TB5</t>
        </is>
      </c>
      <c r="F158" s="20" t="inlineStr">
        <is>
          <t>Pilotes</t>
        </is>
      </c>
      <c r="G158" s="20" t="inlineStr">
        <is>
          <t>Margen Derecha</t>
        </is>
      </c>
      <c r="H158" s="20" t="inlineStr">
        <is>
          <t>Pilote</t>
        </is>
      </c>
      <c r="I158" s="20" t="inlineStr">
        <is>
          <t>PIL-MD</t>
        </is>
      </c>
      <c r="J158" s="20" t="n">
        <v>0.017</v>
      </c>
      <c r="K158" s="20" t="inlineStr">
        <is>
          <t>Ejecutado</t>
        </is>
      </c>
    </row>
    <row r="159">
      <c r="A159" s="20" t="n">
        <v>735175</v>
      </c>
      <c r="B159" s="20" t="inlineStr">
        <is>
          <t>3zZFx4xL53DPPCX6YmUM9y</t>
        </is>
      </c>
      <c r="C159" s="20" t="inlineStr">
        <is>
          <t>BUILDINGELEMENTPROXY</t>
        </is>
      </c>
      <c r="D159" s="20" t="inlineStr">
        <is>
          <t>Tubo Metalico Ø50mm, Prueba UltraSonico:Tubo Metalico Ø50mm, Prueba UltraSonico L=38.425m:486576</t>
        </is>
      </c>
      <c r="E159" s="20" t="inlineStr">
        <is>
          <t>TB5</t>
        </is>
      </c>
      <c r="F159" s="20" t="inlineStr">
        <is>
          <t>Pilotes</t>
        </is>
      </c>
      <c r="G159" s="20" t="inlineStr">
        <is>
          <t>Margen Derecha</t>
        </is>
      </c>
      <c r="H159" s="20" t="inlineStr">
        <is>
          <t>Pilote</t>
        </is>
      </c>
      <c r="I159" s="20" t="inlineStr">
        <is>
          <t>PIL-MD</t>
        </is>
      </c>
      <c r="J159" s="20" t="n">
        <v>0.017</v>
      </c>
      <c r="K159" s="20" t="inlineStr">
        <is>
          <t>Ejecutado</t>
        </is>
      </c>
    </row>
    <row r="160">
      <c r="A160" s="20" t="n">
        <v>735203</v>
      </c>
      <c r="B160" s="20" t="inlineStr">
        <is>
          <t>3zZFx4xL53DPPCX6YmUM9z</t>
        </is>
      </c>
      <c r="C160" s="20" t="inlineStr">
        <is>
          <t>BUILDINGELEMENTPROXY</t>
        </is>
      </c>
      <c r="D160" s="20" t="inlineStr">
        <is>
          <t>Tubo Metalico Ø50mm, Prueba UltraSonico:Tubo Metalico Ø50mm, Prueba UltraSonico L=38.425m:486577</t>
        </is>
      </c>
      <c r="E160" s="20" t="inlineStr">
        <is>
          <t>TB5</t>
        </is>
      </c>
      <c r="F160" s="20" t="inlineStr">
        <is>
          <t>Pilotes</t>
        </is>
      </c>
      <c r="G160" s="20" t="inlineStr">
        <is>
          <t>Margen Derecha</t>
        </is>
      </c>
      <c r="H160" s="20" t="inlineStr">
        <is>
          <t>Pilote</t>
        </is>
      </c>
      <c r="I160" s="20" t="inlineStr">
        <is>
          <t>PIL-MD</t>
        </is>
      </c>
      <c r="J160" s="20" t="n">
        <v>0.017</v>
      </c>
      <c r="K160" s="20" t="inlineStr">
        <is>
          <t>Ejecutado</t>
        </is>
      </c>
    </row>
    <row r="161">
      <c r="A161" s="20" t="n">
        <v>735231</v>
      </c>
      <c r="B161" s="20" t="inlineStr">
        <is>
          <t>3zZFx4xL53DPPCX6YmUM9_</t>
        </is>
      </c>
      <c r="C161" s="20" t="inlineStr">
        <is>
          <t>BUILDINGELEMENTPROXY</t>
        </is>
      </c>
      <c r="D161" s="20" t="inlineStr">
        <is>
          <t>Tubo Metalico Ø50mm, Prueba UltraSonico:Tubo Metalico Ø50mm, Prueba UltraSonico L=38.425m:486578</t>
        </is>
      </c>
      <c r="E161" s="20" t="inlineStr">
        <is>
          <t>TB5</t>
        </is>
      </c>
      <c r="F161" s="20" t="inlineStr">
        <is>
          <t>Pilotes</t>
        </is>
      </c>
      <c r="G161" s="20" t="inlineStr">
        <is>
          <t>Margen Derecha</t>
        </is>
      </c>
      <c r="H161" s="20" t="inlineStr">
        <is>
          <t>Pilote</t>
        </is>
      </c>
      <c r="I161" s="20" t="inlineStr">
        <is>
          <t>PIL-MD</t>
        </is>
      </c>
      <c r="J161" s="20" t="n">
        <v>0.017</v>
      </c>
      <c r="K161" s="20" t="inlineStr">
        <is>
          <t>Ejecutado</t>
        </is>
      </c>
    </row>
    <row r="162">
      <c r="A162" s="20" t="n">
        <v>735263</v>
      </c>
      <c r="B162" s="20" t="inlineStr">
        <is>
          <t>3zZFx4xL53DPPCX6YmUM9u</t>
        </is>
      </c>
      <c r="C162" s="20" t="inlineStr">
        <is>
          <t>SLAB</t>
        </is>
      </c>
      <c r="D162" s="20" t="inlineStr">
        <is>
          <t>Estribos_Pilote:Pilote_D1500_H38000_fc280:486580</t>
        </is>
      </c>
      <c r="E162" s="20" t="inlineStr">
        <is>
          <t>ED-P15</t>
        </is>
      </c>
      <c r="F162" s="20" t="inlineStr">
        <is>
          <t>Pilotes</t>
        </is>
      </c>
      <c r="G162" s="20" t="inlineStr">
        <is>
          <t>Margen Derecha</t>
        </is>
      </c>
      <c r="H162" s="20" t="inlineStr">
        <is>
          <t>Pilote</t>
        </is>
      </c>
      <c r="I162" s="20" t="inlineStr">
        <is>
          <t>PIL-MD</t>
        </is>
      </c>
      <c r="J162" s="20" t="n">
        <v>67.152</v>
      </c>
      <c r="K162" s="20" t="inlineStr">
        <is>
          <t>Ejecutado</t>
        </is>
      </c>
    </row>
    <row r="163">
      <c r="A163" s="20" t="n">
        <v>765162</v>
      </c>
      <c r="B163" s="20" t="inlineStr">
        <is>
          <t>3zZFx4xL53DPPCX6YmUM3A</t>
        </is>
      </c>
      <c r="C163" s="20" t="inlineStr">
        <is>
          <t>BUILDINGELEMENTPROXY</t>
        </is>
      </c>
      <c r="D163" s="20" t="inlineStr">
        <is>
          <t>Tubo Metalico Ø50mm, Prueba UltraSonico:Tubo Metalico Ø50mm, Prueba UltraSonico L=38.425m:486918</t>
        </is>
      </c>
      <c r="E163" s="20" t="inlineStr">
        <is>
          <t>TB5</t>
        </is>
      </c>
      <c r="F163" s="20" t="inlineStr">
        <is>
          <t>Pilotes</t>
        </is>
      </c>
      <c r="G163" s="20" t="inlineStr">
        <is>
          <t>Margen Derecha</t>
        </is>
      </c>
      <c r="H163" s="20" t="inlineStr">
        <is>
          <t>Pilote</t>
        </is>
      </c>
      <c r="I163" s="20" t="inlineStr">
        <is>
          <t>PIL-MD</t>
        </is>
      </c>
      <c r="J163" s="20" t="n">
        <v>0.017</v>
      </c>
      <c r="K163" s="20" t="inlineStr">
        <is>
          <t>Ejecutado</t>
        </is>
      </c>
    </row>
    <row r="164">
      <c r="A164" s="20" t="n">
        <v>765190</v>
      </c>
      <c r="B164" s="20" t="inlineStr">
        <is>
          <t>3zZFx4xL53DPPCX6YmUM3B</t>
        </is>
      </c>
      <c r="C164" s="20" t="inlineStr">
        <is>
          <t>BUILDINGELEMENTPROXY</t>
        </is>
      </c>
      <c r="D164" s="20" t="inlineStr">
        <is>
          <t>Tubo Metalico Ø50mm, Prueba UltraSonico:Tubo Metalico Ø50mm, Prueba UltraSonico L=38.425m:486919</t>
        </is>
      </c>
      <c r="E164" s="20" t="inlineStr">
        <is>
          <t>TB5</t>
        </is>
      </c>
      <c r="F164" s="20" t="inlineStr">
        <is>
          <t>Pilotes</t>
        </is>
      </c>
      <c r="G164" s="20" t="inlineStr">
        <is>
          <t>Margen Derecha</t>
        </is>
      </c>
      <c r="H164" s="20" t="inlineStr">
        <is>
          <t>Pilote</t>
        </is>
      </c>
      <c r="I164" s="20" t="inlineStr">
        <is>
          <t>PIL-MD</t>
        </is>
      </c>
      <c r="J164" s="20" t="n">
        <v>0.017</v>
      </c>
      <c r="K164" s="20" t="inlineStr">
        <is>
          <t>Ejecutado</t>
        </is>
      </c>
    </row>
    <row r="165">
      <c r="A165" s="20" t="n">
        <v>765218</v>
      </c>
      <c r="B165" s="20" t="inlineStr">
        <is>
          <t>3zZFx4xL53DPPCX6YmUM34</t>
        </is>
      </c>
      <c r="C165" s="20" t="inlineStr">
        <is>
          <t>BUILDINGELEMENTPROXY</t>
        </is>
      </c>
      <c r="D165" s="20" t="inlineStr">
        <is>
          <t>Tubo Metalico Ø50mm, Prueba UltraSonico:Tubo Metalico Ø50mm, Prueba UltraSonico L=38.425m:486920</t>
        </is>
      </c>
      <c r="E165" s="20" t="inlineStr">
        <is>
          <t>TB5</t>
        </is>
      </c>
      <c r="F165" s="20" t="inlineStr">
        <is>
          <t>Pilotes</t>
        </is>
      </c>
      <c r="G165" s="20" t="inlineStr">
        <is>
          <t>Margen Derecha</t>
        </is>
      </c>
      <c r="H165" s="20" t="inlineStr">
        <is>
          <t>Pilote</t>
        </is>
      </c>
      <c r="I165" s="20" t="inlineStr">
        <is>
          <t>PIL-MD</t>
        </is>
      </c>
      <c r="J165" s="20" t="n">
        <v>0.017</v>
      </c>
      <c r="K165" s="20" t="inlineStr">
        <is>
          <t>Ejecutado</t>
        </is>
      </c>
    </row>
    <row r="166">
      <c r="A166" s="20" t="n">
        <v>765246</v>
      </c>
      <c r="B166" s="20" t="inlineStr">
        <is>
          <t>3zZFx4xL53DPPCX6YmUM35</t>
        </is>
      </c>
      <c r="C166" s="20" t="inlineStr">
        <is>
          <t>BUILDINGELEMENTPROXY</t>
        </is>
      </c>
      <c r="D166" s="20" t="inlineStr">
        <is>
          <t>Tubo Metalico Ø50mm, Prueba UltraSonico:Tubo Metalico Ø50mm, Prueba UltraSonico L=38.425m:486921</t>
        </is>
      </c>
      <c r="E166" s="20" t="inlineStr">
        <is>
          <t>TB5</t>
        </is>
      </c>
      <c r="F166" s="20" t="inlineStr">
        <is>
          <t>Pilotes</t>
        </is>
      </c>
      <c r="G166" s="20" t="inlineStr">
        <is>
          <t>Margen Derecha</t>
        </is>
      </c>
      <c r="H166" s="20" t="inlineStr">
        <is>
          <t>Pilote</t>
        </is>
      </c>
      <c r="I166" s="20" t="inlineStr">
        <is>
          <t>PIL-MD</t>
        </is>
      </c>
      <c r="J166" s="20" t="n">
        <v>0.017</v>
      </c>
      <c r="K166" s="20" t="inlineStr">
        <is>
          <t>Ejecutado</t>
        </is>
      </c>
    </row>
    <row r="167">
      <c r="A167" s="20" t="n">
        <v>765278</v>
      </c>
      <c r="B167" s="20" t="inlineStr">
        <is>
          <t>3zZFx4xL53DPPCX6YmUM3a</t>
        </is>
      </c>
      <c r="C167" s="20" t="inlineStr">
        <is>
          <t>SLAB</t>
        </is>
      </c>
      <c r="D167" s="20" t="inlineStr">
        <is>
          <t>Estribos_Pilote:Pilote_D1500_H38000_fc280:486952</t>
        </is>
      </c>
      <c r="E167" s="20" t="inlineStr">
        <is>
          <t>ED-P3</t>
        </is>
      </c>
      <c r="F167" s="20" t="inlineStr">
        <is>
          <t>Pilotes</t>
        </is>
      </c>
      <c r="G167" s="20" t="inlineStr">
        <is>
          <t>Margen Derecha</t>
        </is>
      </c>
      <c r="H167" s="20" t="inlineStr">
        <is>
          <t>Pilote</t>
        </is>
      </c>
      <c r="I167" s="20" t="inlineStr">
        <is>
          <t>PIL-MD</t>
        </is>
      </c>
      <c r="J167" s="20" t="n">
        <v>67.152</v>
      </c>
      <c r="K167" s="20" t="inlineStr">
        <is>
          <t>Ejecutado</t>
        </is>
      </c>
    </row>
    <row r="168">
      <c r="A168" s="20" t="n">
        <v>795177</v>
      </c>
      <c r="B168" s="20" t="inlineStr">
        <is>
          <t>3zZFx4xL53DPPCX6YmUM6s</t>
        </is>
      </c>
      <c r="C168" s="20" t="inlineStr">
        <is>
          <t>BUILDINGELEMENTPROXY</t>
        </is>
      </c>
      <c r="D168" s="20" t="inlineStr">
        <is>
          <t>Tubo Metalico Ø50mm, Prueba UltraSonico:Tubo Metalico Ø50mm, Prueba UltraSonico L=38.425m:487290</t>
        </is>
      </c>
      <c r="E168" s="20" t="inlineStr">
        <is>
          <t>TB5</t>
        </is>
      </c>
      <c r="F168" s="20" t="inlineStr">
        <is>
          <t>Pilotes</t>
        </is>
      </c>
      <c r="G168" s="20" t="inlineStr">
        <is>
          <t>Margen Derecha</t>
        </is>
      </c>
      <c r="H168" s="20" t="inlineStr">
        <is>
          <t>Pilote</t>
        </is>
      </c>
      <c r="I168" s="20" t="inlineStr">
        <is>
          <t>PIL-MD</t>
        </is>
      </c>
      <c r="J168" s="20" t="n">
        <v>0.017</v>
      </c>
      <c r="K168" s="20" t="inlineStr">
        <is>
          <t>Ejecutado</t>
        </is>
      </c>
    </row>
    <row r="169">
      <c r="A169" s="20" t="n">
        <v>795205</v>
      </c>
      <c r="B169" s="20" t="inlineStr">
        <is>
          <t>3zZFx4xL53DPPCX6YmUM6t</t>
        </is>
      </c>
      <c r="C169" s="20" t="inlineStr">
        <is>
          <t>BUILDINGELEMENTPROXY</t>
        </is>
      </c>
      <c r="D169" s="20" t="inlineStr">
        <is>
          <t>Tubo Metalico Ø50mm, Prueba UltraSonico:Tubo Metalico Ø50mm, Prueba UltraSonico L=38.425m:487291</t>
        </is>
      </c>
      <c r="E169" s="20" t="inlineStr">
        <is>
          <t>TB5</t>
        </is>
      </c>
      <c r="F169" s="20" t="inlineStr">
        <is>
          <t>Pilotes</t>
        </is>
      </c>
      <c r="G169" s="20" t="inlineStr">
        <is>
          <t>Margen Derecha</t>
        </is>
      </c>
      <c r="H169" s="20" t="inlineStr">
        <is>
          <t>Pilote</t>
        </is>
      </c>
      <c r="I169" s="20" t="inlineStr">
        <is>
          <t>PIL-MD</t>
        </is>
      </c>
      <c r="J169" s="20" t="n">
        <v>0.017</v>
      </c>
      <c r="K169" s="20" t="inlineStr">
        <is>
          <t>Ejecutado</t>
        </is>
      </c>
    </row>
    <row r="170">
      <c r="A170" s="20" t="n">
        <v>795233</v>
      </c>
      <c r="B170" s="20" t="inlineStr">
        <is>
          <t>3zZFx4xL53DPPCX6YmUM6m</t>
        </is>
      </c>
      <c r="C170" s="20" t="inlineStr">
        <is>
          <t>BUILDINGELEMENTPROXY</t>
        </is>
      </c>
      <c r="D170" s="20" t="inlineStr">
        <is>
          <t>Tubo Metalico Ø50mm, Prueba UltraSonico:Tubo Metalico Ø50mm, Prueba UltraSonico L=38.425m:487292</t>
        </is>
      </c>
      <c r="E170" s="20" t="inlineStr">
        <is>
          <t>TB5</t>
        </is>
      </c>
      <c r="F170" s="20" t="inlineStr">
        <is>
          <t>Pilotes</t>
        </is>
      </c>
      <c r="G170" s="20" t="inlineStr">
        <is>
          <t>Margen Derecha</t>
        </is>
      </c>
      <c r="H170" s="20" t="inlineStr">
        <is>
          <t>Pilote</t>
        </is>
      </c>
      <c r="I170" s="20" t="inlineStr">
        <is>
          <t>PIL-MD</t>
        </is>
      </c>
      <c r="J170" s="20" t="n">
        <v>0.017</v>
      </c>
      <c r="K170" s="20" t="inlineStr">
        <is>
          <t>Ejecutado</t>
        </is>
      </c>
    </row>
    <row r="171">
      <c r="A171" s="20" t="n">
        <v>795261</v>
      </c>
      <c r="B171" s="20" t="inlineStr">
        <is>
          <t>3zZFx4xL53DPPCX6YmUM6n</t>
        </is>
      </c>
      <c r="C171" s="20" t="inlineStr">
        <is>
          <t>BUILDINGELEMENTPROXY</t>
        </is>
      </c>
      <c r="D171" s="20" t="inlineStr">
        <is>
          <t>Tubo Metalico Ø50mm, Prueba UltraSonico:Tubo Metalico Ø50mm, Prueba UltraSonico L=38.425m:487293</t>
        </is>
      </c>
      <c r="E171" s="20" t="inlineStr">
        <is>
          <t>TB5</t>
        </is>
      </c>
      <c r="F171" s="20" t="inlineStr">
        <is>
          <t>Pilotes</t>
        </is>
      </c>
      <c r="G171" s="20" t="inlineStr">
        <is>
          <t>Margen Derecha</t>
        </is>
      </c>
      <c r="H171" s="20" t="inlineStr">
        <is>
          <t>Pilote</t>
        </is>
      </c>
      <c r="I171" s="20" t="inlineStr">
        <is>
          <t>PIL-MD</t>
        </is>
      </c>
      <c r="J171" s="20" t="n">
        <v>0.017</v>
      </c>
      <c r="K171" s="20" t="inlineStr">
        <is>
          <t>Ejecutado</t>
        </is>
      </c>
    </row>
    <row r="172">
      <c r="A172" s="20" t="n">
        <v>868829</v>
      </c>
      <c r="B172" s="20" t="inlineStr">
        <is>
          <t>3zZFx4xL53DPPCX6YmUNnT</t>
        </is>
      </c>
      <c r="C172" s="20" t="inlineStr">
        <is>
          <t>SLAB</t>
        </is>
      </c>
      <c r="D172" s="20" t="inlineStr">
        <is>
          <t>Estribos_Pilote:Pilote_D1500_H38000_fc280:488081</t>
        </is>
      </c>
      <c r="E172" s="20" t="inlineStr">
        <is>
          <t>ED-P8</t>
        </is>
      </c>
      <c r="F172" s="20" t="inlineStr">
        <is>
          <t>Pilotes</t>
        </is>
      </c>
      <c r="G172" s="20" t="inlineStr">
        <is>
          <t>Margen Derecha</t>
        </is>
      </c>
      <c r="H172" s="20" t="inlineStr">
        <is>
          <t>Pilote</t>
        </is>
      </c>
      <c r="I172" s="20" t="inlineStr">
        <is>
          <t>PIL-MD</t>
        </is>
      </c>
      <c r="J172" s="20" t="n">
        <v>67.152</v>
      </c>
      <c r="K172" s="20" t="inlineStr">
        <is>
          <t>Ejecutado</t>
        </is>
      </c>
    </row>
    <row r="173">
      <c r="A173" s="20" t="n">
        <v>898728</v>
      </c>
      <c r="B173" s="20" t="inlineStr">
        <is>
          <t>3zZFx4xL53DPPCX6YmUNql</t>
        </is>
      </c>
      <c r="C173" s="20" t="inlineStr">
        <is>
          <t>BUILDINGELEMENTPROXY</t>
        </is>
      </c>
      <c r="D173" s="20" t="inlineStr">
        <is>
          <t>Tubo Metalico Ø50mm, Prueba UltraSonico:Tubo Metalico Ø50mm, Prueba UltraSonico L=38.425m:488419</t>
        </is>
      </c>
      <c r="E173" s="20" t="inlineStr">
        <is>
          <t>TB5</t>
        </is>
      </c>
      <c r="F173" s="20" t="inlineStr">
        <is>
          <t>Pilotes</t>
        </is>
      </c>
      <c r="G173" s="20" t="inlineStr">
        <is>
          <t>Margen Derecha</t>
        </is>
      </c>
      <c r="H173" s="20" t="inlineStr">
        <is>
          <t>Pilote</t>
        </is>
      </c>
      <c r="I173" s="20" t="inlineStr">
        <is>
          <t>PIL-MD</t>
        </is>
      </c>
      <c r="J173" s="20" t="n">
        <v>0.017</v>
      </c>
      <c r="K173" s="20" t="inlineStr">
        <is>
          <t>Ejecutado</t>
        </is>
      </c>
    </row>
    <row r="174">
      <c r="A174" s="20" t="n">
        <v>898756</v>
      </c>
      <c r="B174" s="20" t="inlineStr">
        <is>
          <t>3zZFx4xL53DPPCX6YmUNqe</t>
        </is>
      </c>
      <c r="C174" s="20" t="inlineStr">
        <is>
          <t>BUILDINGELEMENTPROXY</t>
        </is>
      </c>
      <c r="D174" s="20" t="inlineStr">
        <is>
          <t>Tubo Metalico Ø50mm, Prueba UltraSonico:Tubo Metalico Ø50mm, Prueba UltraSonico L=38.425m:488420</t>
        </is>
      </c>
      <c r="E174" s="20" t="inlineStr">
        <is>
          <t>TB5</t>
        </is>
      </c>
      <c r="F174" s="20" t="inlineStr">
        <is>
          <t>Pilotes</t>
        </is>
      </c>
      <c r="G174" s="20" t="inlineStr">
        <is>
          <t>Margen Derecha</t>
        </is>
      </c>
      <c r="H174" s="20" t="inlineStr">
        <is>
          <t>Pilote</t>
        </is>
      </c>
      <c r="I174" s="20" t="inlineStr">
        <is>
          <t>PIL-MD</t>
        </is>
      </c>
      <c r="J174" s="20" t="n">
        <v>0.017</v>
      </c>
      <c r="K174" s="20" t="inlineStr">
        <is>
          <t>Ejecutado</t>
        </is>
      </c>
    </row>
    <row r="175">
      <c r="A175" s="20" t="n">
        <v>898784</v>
      </c>
      <c r="B175" s="20" t="inlineStr">
        <is>
          <t>3zZFx4xL53DPPCX6YmUNqf</t>
        </is>
      </c>
      <c r="C175" s="20" t="inlineStr">
        <is>
          <t>BUILDINGELEMENTPROXY</t>
        </is>
      </c>
      <c r="D175" s="20" t="inlineStr">
        <is>
          <t>Tubo Metalico Ø50mm, Prueba UltraSonico:Tubo Metalico Ø50mm, Prueba UltraSonico L=38.425m:488421</t>
        </is>
      </c>
      <c r="E175" s="20" t="inlineStr">
        <is>
          <t>TB5</t>
        </is>
      </c>
      <c r="F175" s="20" t="inlineStr">
        <is>
          <t>Pilotes</t>
        </is>
      </c>
      <c r="G175" s="20" t="inlineStr">
        <is>
          <t>Margen Derecha</t>
        </is>
      </c>
      <c r="H175" s="20" t="inlineStr">
        <is>
          <t>Pilote</t>
        </is>
      </c>
      <c r="I175" s="20" t="inlineStr">
        <is>
          <t>PIL-MD</t>
        </is>
      </c>
      <c r="J175" s="20" t="n">
        <v>0.017</v>
      </c>
      <c r="K175" s="20" t="inlineStr">
        <is>
          <t>Ejecutado</t>
        </is>
      </c>
    </row>
    <row r="176">
      <c r="A176" s="20" t="n">
        <v>898812</v>
      </c>
      <c r="B176" s="20" t="inlineStr">
        <is>
          <t>3zZFx4xL53DPPCX6YmUNqg</t>
        </is>
      </c>
      <c r="C176" s="20" t="inlineStr">
        <is>
          <t>BUILDINGELEMENTPROXY</t>
        </is>
      </c>
      <c r="D176" s="20" t="inlineStr">
        <is>
          <t>Tubo Metalico Ø50mm, Prueba UltraSonico:Tubo Metalico Ø50mm, Prueba UltraSonico L=38.425m:488422</t>
        </is>
      </c>
      <c r="E176" s="20" t="inlineStr">
        <is>
          <t>TB5</t>
        </is>
      </c>
      <c r="F176" s="20" t="inlineStr">
        <is>
          <t>Pilotes</t>
        </is>
      </c>
      <c r="G176" s="20" t="inlineStr">
        <is>
          <t>Margen Derecha</t>
        </is>
      </c>
      <c r="H176" s="20" t="inlineStr">
        <is>
          <t>Pilote</t>
        </is>
      </c>
      <c r="I176" s="20" t="inlineStr">
        <is>
          <t>PIL-MD</t>
        </is>
      </c>
      <c r="J176" s="20" t="n">
        <v>0.017</v>
      </c>
      <c r="K176" s="20" t="inlineStr">
        <is>
          <t>Ejecutado</t>
        </is>
      </c>
    </row>
    <row r="177">
      <c r="A177" s="20" t="n">
        <v>898844</v>
      </c>
      <c r="B177" s="20" t="inlineStr">
        <is>
          <t>3zZFx4xL53DPPCX6YmUNqa</t>
        </is>
      </c>
      <c r="C177" s="20" t="inlineStr">
        <is>
          <t>SLAB</t>
        </is>
      </c>
      <c r="D177" s="20" t="inlineStr">
        <is>
          <t>Estribos_Pilote:Pilote_D1500_H38000_fc280:488424</t>
        </is>
      </c>
      <c r="E177" s="20" t="inlineStr">
        <is>
          <t>ED-P13</t>
        </is>
      </c>
      <c r="F177" s="20" t="inlineStr">
        <is>
          <t>Pilotes</t>
        </is>
      </c>
      <c r="G177" s="20" t="inlineStr">
        <is>
          <t>Margen Derecha</t>
        </is>
      </c>
      <c r="H177" s="20" t="inlineStr">
        <is>
          <t>Pilote</t>
        </is>
      </c>
      <c r="I177" s="20" t="inlineStr">
        <is>
          <t>PIL-MD</t>
        </is>
      </c>
      <c r="J177" s="20" t="n">
        <v>67.152</v>
      </c>
      <c r="K177" s="20" t="inlineStr">
        <is>
          <t>Ejecutado</t>
        </is>
      </c>
    </row>
    <row r="178">
      <c r="A178" s="20" t="n">
        <v>928743</v>
      </c>
      <c r="B178" s="20" t="inlineStr">
        <is>
          <t>3zZFx4xL53DPPCX6YmUNls</t>
        </is>
      </c>
      <c r="C178" s="20" t="inlineStr">
        <is>
          <t>BUILDINGELEMENTPROXY</t>
        </is>
      </c>
      <c r="D178" s="20" t="inlineStr">
        <is>
          <t>Tubo Metalico Ø50mm, Prueba UltraSonico:Tubo Metalico Ø50mm, Prueba UltraSonico L=38.425m:488762</t>
        </is>
      </c>
      <c r="E178" s="20" t="inlineStr">
        <is>
          <t>TB5</t>
        </is>
      </c>
      <c r="F178" s="20" t="inlineStr">
        <is>
          <t>Pilotes</t>
        </is>
      </c>
      <c r="G178" s="20" t="inlineStr">
        <is>
          <t>Margen Derecha</t>
        </is>
      </c>
      <c r="H178" s="20" t="inlineStr">
        <is>
          <t>Pilote</t>
        </is>
      </c>
      <c r="I178" s="20" t="inlineStr">
        <is>
          <t>PIL-MD</t>
        </is>
      </c>
      <c r="J178" s="20" t="n">
        <v>0.017</v>
      </c>
      <c r="K178" s="20" t="inlineStr">
        <is>
          <t>Ejecutado</t>
        </is>
      </c>
    </row>
    <row r="179">
      <c r="A179" s="20" t="n">
        <v>928771</v>
      </c>
      <c r="B179" s="20" t="inlineStr">
        <is>
          <t>3zZFx4xL53DPPCX6YmUNlt</t>
        </is>
      </c>
      <c r="C179" s="20" t="inlineStr">
        <is>
          <t>BUILDINGELEMENTPROXY</t>
        </is>
      </c>
      <c r="D179" s="20" t="inlineStr">
        <is>
          <t>Tubo Metalico Ø50mm, Prueba UltraSonico:Tubo Metalico Ø50mm, Prueba UltraSonico L=38.425m:488763</t>
        </is>
      </c>
      <c r="E179" s="20" t="inlineStr">
        <is>
          <t>TB5</t>
        </is>
      </c>
      <c r="F179" s="20" t="inlineStr">
        <is>
          <t>Pilotes</t>
        </is>
      </c>
      <c r="G179" s="20" t="inlineStr">
        <is>
          <t>Margen Derecha</t>
        </is>
      </c>
      <c r="H179" s="20" t="inlineStr">
        <is>
          <t>Pilote</t>
        </is>
      </c>
      <c r="I179" s="20" t="inlineStr">
        <is>
          <t>PIL-MD</t>
        </is>
      </c>
      <c r="J179" s="20" t="n">
        <v>0.017</v>
      </c>
      <c r="K179" s="20" t="inlineStr">
        <is>
          <t>Ejecutado</t>
        </is>
      </c>
    </row>
    <row r="180">
      <c r="A180" s="20" t="n">
        <v>928799</v>
      </c>
      <c r="B180" s="20" t="inlineStr">
        <is>
          <t>3zZFx4xL53DPPCX6YmUNlm</t>
        </is>
      </c>
      <c r="C180" s="20" t="inlineStr">
        <is>
          <t>BUILDINGELEMENTPROXY</t>
        </is>
      </c>
      <c r="D180" s="20" t="inlineStr">
        <is>
          <t>Tubo Metalico Ø50mm, Prueba UltraSonico:Tubo Metalico Ø50mm, Prueba UltraSonico L=38.425m:488764</t>
        </is>
      </c>
      <c r="E180" s="20" t="inlineStr">
        <is>
          <t>TB5</t>
        </is>
      </c>
      <c r="F180" s="20" t="inlineStr">
        <is>
          <t>Pilotes</t>
        </is>
      </c>
      <c r="G180" s="20" t="inlineStr">
        <is>
          <t>Margen Derecha</t>
        </is>
      </c>
      <c r="H180" s="20" t="inlineStr">
        <is>
          <t>Pilote</t>
        </is>
      </c>
      <c r="I180" s="20" t="inlineStr">
        <is>
          <t>PIL-MD</t>
        </is>
      </c>
      <c r="J180" s="20" t="n">
        <v>0.017</v>
      </c>
      <c r="K180" s="20" t="inlineStr">
        <is>
          <t>Ejecutado</t>
        </is>
      </c>
    </row>
    <row r="181">
      <c r="A181" s="20" t="n">
        <v>928827</v>
      </c>
      <c r="B181" s="20" t="inlineStr">
        <is>
          <t>3zZFx4xL53DPPCX6YmUNln</t>
        </is>
      </c>
      <c r="C181" s="20" t="inlineStr">
        <is>
          <t>BUILDINGELEMENTPROXY</t>
        </is>
      </c>
      <c r="D181" s="20" t="inlineStr">
        <is>
          <t>Tubo Metalico Ø50mm, Prueba UltraSonico:Tubo Metalico Ø50mm, Prueba UltraSonico L=38.425m:488765</t>
        </is>
      </c>
      <c r="E181" s="20" t="inlineStr">
        <is>
          <t>TB5</t>
        </is>
      </c>
      <c r="F181" s="20" t="inlineStr">
        <is>
          <t>Pilotes</t>
        </is>
      </c>
      <c r="G181" s="20" t="inlineStr">
        <is>
          <t>Margen Derecha</t>
        </is>
      </c>
      <c r="H181" s="20" t="inlineStr">
        <is>
          <t>Pilote</t>
        </is>
      </c>
      <c r="I181" s="20" t="inlineStr">
        <is>
          <t>PIL-MD</t>
        </is>
      </c>
      <c r="J181" s="20" t="n">
        <v>0.017</v>
      </c>
      <c r="K181" s="20" t="inlineStr">
        <is>
          <t>Ejecutado</t>
        </is>
      </c>
    </row>
    <row r="182">
      <c r="A182" s="20" t="n">
        <v>928859</v>
      </c>
      <c r="B182" s="20" t="inlineStr">
        <is>
          <t>3zZFx4xL53DPPCX6YmUNkG</t>
        </is>
      </c>
      <c r="C182" s="20" t="inlineStr">
        <is>
          <t>SLAB</t>
        </is>
      </c>
      <c r="D182" s="20" t="inlineStr">
        <is>
          <t>Estribos_Pilote:Pilote_D1500_H38000_fc280:488796</t>
        </is>
      </c>
      <c r="E182" s="20" t="inlineStr">
        <is>
          <t>ED-P6</t>
        </is>
      </c>
      <c r="F182" s="20" t="inlineStr">
        <is>
          <t>Pilotes</t>
        </is>
      </c>
      <c r="G182" s="20" t="inlineStr">
        <is>
          <t>Margen Derecha</t>
        </is>
      </c>
      <c r="H182" s="20" t="inlineStr">
        <is>
          <t>Pilote</t>
        </is>
      </c>
      <c r="I182" s="20" t="inlineStr">
        <is>
          <t>PIL-MD</t>
        </is>
      </c>
      <c r="J182" s="20" t="n">
        <v>67.152</v>
      </c>
      <c r="K182" s="20" t="inlineStr">
        <is>
          <t>Ejecutado</t>
        </is>
      </c>
    </row>
    <row r="183">
      <c r="A183" s="20" t="n">
        <v>958758</v>
      </c>
      <c r="B183" s="20" t="inlineStr">
        <is>
          <t>3zZFx4xL53DPPCX6YmUNXY</t>
        </is>
      </c>
      <c r="C183" s="20" t="inlineStr">
        <is>
          <t>BUILDINGELEMENTPROXY</t>
        </is>
      </c>
      <c r="D183" s="20" t="inlineStr">
        <is>
          <t>Tubo Metalico Ø50mm, Prueba UltraSonico:Tubo Metalico Ø50mm, Prueba UltraSonico L=38.425m:489134</t>
        </is>
      </c>
      <c r="E183" s="20" t="inlineStr">
        <is>
          <t>TB5</t>
        </is>
      </c>
      <c r="F183" s="20" t="inlineStr">
        <is>
          <t>Pilotes</t>
        </is>
      </c>
      <c r="G183" s="20" t="inlineStr">
        <is>
          <t>Margen Derecha</t>
        </is>
      </c>
      <c r="H183" s="20" t="inlineStr">
        <is>
          <t>Pilote</t>
        </is>
      </c>
      <c r="I183" s="20" t="inlineStr">
        <is>
          <t>PIL-MD</t>
        </is>
      </c>
      <c r="J183" s="20" t="n">
        <v>0.017</v>
      </c>
      <c r="K183" s="20" t="inlineStr">
        <is>
          <t>Ejecutado</t>
        </is>
      </c>
    </row>
    <row r="184">
      <c r="A184" s="20" t="n">
        <v>958786</v>
      </c>
      <c r="B184" s="20" t="inlineStr">
        <is>
          <t>3zZFx4xL53DPPCX6YmUNXZ</t>
        </is>
      </c>
      <c r="C184" s="20" t="inlineStr">
        <is>
          <t>BUILDINGELEMENTPROXY</t>
        </is>
      </c>
      <c r="D184" s="20" t="inlineStr">
        <is>
          <t>Tubo Metalico Ø50mm, Prueba UltraSonico:Tubo Metalico Ø50mm, Prueba UltraSonico L=38.425m:489135</t>
        </is>
      </c>
      <c r="E184" s="20" t="inlineStr">
        <is>
          <t>TB5</t>
        </is>
      </c>
      <c r="F184" s="20" t="inlineStr">
        <is>
          <t>Pilotes</t>
        </is>
      </c>
      <c r="G184" s="20" t="inlineStr">
        <is>
          <t>Margen Derecha</t>
        </is>
      </c>
      <c r="H184" s="20" t="inlineStr">
        <is>
          <t>Pilote</t>
        </is>
      </c>
      <c r="I184" s="20" t="inlineStr">
        <is>
          <t>PIL-MD</t>
        </is>
      </c>
      <c r="J184" s="20" t="n">
        <v>0.017</v>
      </c>
      <c r="K184" s="20" t="inlineStr">
        <is>
          <t>Ejecutado</t>
        </is>
      </c>
    </row>
    <row r="185">
      <c r="A185" s="20" t="n">
        <v>958814</v>
      </c>
      <c r="B185" s="20" t="inlineStr">
        <is>
          <t>3zZFx4xL53DPPCX6YmUNXy</t>
        </is>
      </c>
      <c r="C185" s="20" t="inlineStr">
        <is>
          <t>BUILDINGELEMENTPROXY</t>
        </is>
      </c>
      <c r="D185" s="20" t="inlineStr">
        <is>
          <t>Tubo Metalico Ø50mm, Prueba UltraSonico:Tubo Metalico Ø50mm, Prueba UltraSonico L=38.425m:489136</t>
        </is>
      </c>
      <c r="E185" s="20" t="inlineStr">
        <is>
          <t>TB5</t>
        </is>
      </c>
      <c r="F185" s="20" t="inlineStr">
        <is>
          <t>Pilotes</t>
        </is>
      </c>
      <c r="G185" s="20" t="inlineStr">
        <is>
          <t>Margen Derecha</t>
        </is>
      </c>
      <c r="H185" s="20" t="inlineStr">
        <is>
          <t>Pilote</t>
        </is>
      </c>
      <c r="I185" s="20" t="inlineStr">
        <is>
          <t>PIL-MD</t>
        </is>
      </c>
      <c r="J185" s="20" t="n">
        <v>0.017</v>
      </c>
      <c r="K185" s="20" t="inlineStr">
        <is>
          <t>Ejecutado</t>
        </is>
      </c>
    </row>
    <row r="186">
      <c r="A186" s="20" t="n">
        <v>958842</v>
      </c>
      <c r="B186" s="20" t="inlineStr">
        <is>
          <t>3zZFx4xL53DPPCX6YmUNXz</t>
        </is>
      </c>
      <c r="C186" s="20" t="inlineStr">
        <is>
          <t>BUILDINGELEMENTPROXY</t>
        </is>
      </c>
      <c r="D186" s="20" t="inlineStr">
        <is>
          <t>Tubo Metalico Ø50mm, Prueba UltraSonico:Tubo Metalico Ø50mm, Prueba UltraSonico L=38.425m:489137</t>
        </is>
      </c>
      <c r="E186" s="20" t="inlineStr">
        <is>
          <t>TB5</t>
        </is>
      </c>
      <c r="F186" s="20" t="inlineStr">
        <is>
          <t>Pilotes</t>
        </is>
      </c>
      <c r="G186" s="20" t="inlineStr">
        <is>
          <t>Margen Derecha</t>
        </is>
      </c>
      <c r="H186" s="20" t="inlineStr">
        <is>
          <t>Pilote</t>
        </is>
      </c>
      <c r="I186" s="20" t="inlineStr">
        <is>
          <t>PIL-MD</t>
        </is>
      </c>
      <c r="J186" s="20" t="n">
        <v>0.017</v>
      </c>
      <c r="K186" s="20" t="inlineStr">
        <is>
          <t>Ejecutado</t>
        </is>
      </c>
    </row>
    <row r="187">
      <c r="A187" s="20" t="n">
        <v>1032410</v>
      </c>
      <c r="B187" s="20" t="inlineStr">
        <is>
          <t>3zZFx4xL53DPPCX6YmUNS9</t>
        </is>
      </c>
      <c r="C187" s="20" t="inlineStr">
        <is>
          <t>SLAB</t>
        </is>
      </c>
      <c r="D187" s="20" t="inlineStr">
        <is>
          <t>Estribos_Pilote:Pilote_D1500_H38000_fc280:489925</t>
        </is>
      </c>
      <c r="E187" s="20" t="inlineStr">
        <is>
          <t>ED-P11</t>
        </is>
      </c>
      <c r="F187" s="20" t="inlineStr">
        <is>
          <t>Pilotes</t>
        </is>
      </c>
      <c r="G187" s="20" t="inlineStr">
        <is>
          <t>Margen Derecha</t>
        </is>
      </c>
      <c r="H187" s="20" t="inlineStr">
        <is>
          <t>Pilote</t>
        </is>
      </c>
      <c r="I187" s="20" t="inlineStr">
        <is>
          <t>PIL-MD</t>
        </is>
      </c>
      <c r="J187" s="20" t="n">
        <v>67.152</v>
      </c>
      <c r="K187" s="20" t="inlineStr">
        <is>
          <t>Ejecutado</t>
        </is>
      </c>
    </row>
    <row r="188">
      <c r="A188" s="20" t="n">
        <v>1062309</v>
      </c>
      <c r="B188" s="20" t="inlineStr">
        <is>
          <t>3zZFx4xL53DPPCX6YmUNNR</t>
        </is>
      </c>
      <c r="C188" s="20" t="inlineStr">
        <is>
          <t>BUILDINGELEMENTPROXY</t>
        </is>
      </c>
      <c r="D188" s="20" t="inlineStr">
        <is>
          <t>Tubo Metalico Ø50mm, Prueba UltraSonico:Tubo Metalico Ø50mm, Prueba UltraSonico L=38.425m:490263</t>
        </is>
      </c>
      <c r="E188" s="20" t="inlineStr">
        <is>
          <t>TB5</t>
        </is>
      </c>
      <c r="F188" s="20" t="inlineStr">
        <is>
          <t>Pilotes</t>
        </is>
      </c>
      <c r="G188" s="20" t="inlineStr">
        <is>
          <t>Margen Derecha</t>
        </is>
      </c>
      <c r="H188" s="20" t="inlineStr">
        <is>
          <t>Pilote</t>
        </is>
      </c>
      <c r="I188" s="20" t="inlineStr">
        <is>
          <t>PIL-MD</t>
        </is>
      </c>
      <c r="J188" s="20" t="n">
        <v>0.017</v>
      </c>
      <c r="K188" s="20" t="inlineStr">
        <is>
          <t>Ejecutado</t>
        </is>
      </c>
    </row>
    <row r="189">
      <c r="A189" s="20" t="n">
        <v>1062337</v>
      </c>
      <c r="B189" s="20" t="inlineStr">
        <is>
          <t>3zZFx4xL53DPPCX6YmUNNK</t>
        </is>
      </c>
      <c r="C189" s="20" t="inlineStr">
        <is>
          <t>BUILDINGELEMENTPROXY</t>
        </is>
      </c>
      <c r="D189" s="20" t="inlineStr">
        <is>
          <t>Tubo Metalico Ø50mm, Prueba UltraSonico:Tubo Metalico Ø50mm, Prueba UltraSonico L=38.425m:490264</t>
        </is>
      </c>
      <c r="E189" s="20" t="inlineStr">
        <is>
          <t>TB5</t>
        </is>
      </c>
      <c r="F189" s="20" t="inlineStr">
        <is>
          <t>Pilotes</t>
        </is>
      </c>
      <c r="G189" s="20" t="inlineStr">
        <is>
          <t>Margen Derecha</t>
        </is>
      </c>
      <c r="H189" s="20" t="inlineStr">
        <is>
          <t>Pilote</t>
        </is>
      </c>
      <c r="I189" s="20" t="inlineStr">
        <is>
          <t>PIL-MD</t>
        </is>
      </c>
      <c r="J189" s="20" t="n">
        <v>0.017</v>
      </c>
      <c r="K189" s="20" t="inlineStr">
        <is>
          <t>Ejecutado</t>
        </is>
      </c>
    </row>
    <row r="190">
      <c r="A190" s="20" t="n">
        <v>1062365</v>
      </c>
      <c r="B190" s="20" t="inlineStr">
        <is>
          <t>3zZFx4xL53DPPCX6YmUNNL</t>
        </is>
      </c>
      <c r="C190" s="20" t="inlineStr">
        <is>
          <t>BUILDINGELEMENTPROXY</t>
        </is>
      </c>
      <c r="D190" s="20" t="inlineStr">
        <is>
          <t>Tubo Metalico Ø50mm, Prueba UltraSonico:Tubo Metalico Ø50mm, Prueba UltraSonico L=38.425m:490265</t>
        </is>
      </c>
      <c r="E190" s="20" t="inlineStr">
        <is>
          <t>TB5</t>
        </is>
      </c>
      <c r="F190" s="20" t="inlineStr">
        <is>
          <t>Pilotes</t>
        </is>
      </c>
      <c r="G190" s="20" t="inlineStr">
        <is>
          <t>Margen Derecha</t>
        </is>
      </c>
      <c r="H190" s="20" t="inlineStr">
        <is>
          <t>Pilote</t>
        </is>
      </c>
      <c r="I190" s="20" t="inlineStr">
        <is>
          <t>PIL-MD</t>
        </is>
      </c>
      <c r="J190" s="20" t="n">
        <v>0.017</v>
      </c>
      <c r="K190" s="20" t="inlineStr">
        <is>
          <t>Ejecutado</t>
        </is>
      </c>
    </row>
    <row r="191">
      <c r="A191" s="20" t="n">
        <v>1062393</v>
      </c>
      <c r="B191" s="20" t="inlineStr">
        <is>
          <t>3zZFx4xL53DPPCX6YmUNNM</t>
        </is>
      </c>
      <c r="C191" s="20" t="inlineStr">
        <is>
          <t>BUILDINGELEMENTPROXY</t>
        </is>
      </c>
      <c r="D191" s="20" t="inlineStr">
        <is>
          <t>Tubo Metalico Ø50mm, Prueba UltraSonico:Tubo Metalico Ø50mm, Prueba UltraSonico L=38.425m:490266</t>
        </is>
      </c>
      <c r="E191" s="20" t="inlineStr">
        <is>
          <t>TB5</t>
        </is>
      </c>
      <c r="F191" s="20" t="inlineStr">
        <is>
          <t>Pilotes</t>
        </is>
      </c>
      <c r="G191" s="20" t="inlineStr">
        <is>
          <t>Margen Derecha</t>
        </is>
      </c>
      <c r="H191" s="20" t="inlineStr">
        <is>
          <t>Pilote</t>
        </is>
      </c>
      <c r="I191" s="20" t="inlineStr">
        <is>
          <t>PIL-MD</t>
        </is>
      </c>
      <c r="J191" s="20" t="n">
        <v>0.017</v>
      </c>
      <c r="K191" s="20" t="inlineStr">
        <is>
          <t>Ejecutado</t>
        </is>
      </c>
    </row>
    <row r="192">
      <c r="A192" s="20" t="n">
        <v>1062425</v>
      </c>
      <c r="B192" s="20" t="inlineStr">
        <is>
          <t>3zZFx4xL53DPPCX6YmUNNG</t>
        </is>
      </c>
      <c r="C192" s="20" t="inlineStr">
        <is>
          <t>SLAB</t>
        </is>
      </c>
      <c r="D192" s="20" t="inlineStr">
        <is>
          <t>Estribos_Pilote:Pilote_D1500_H38000_fc280:490268</t>
        </is>
      </c>
      <c r="E192" s="20" t="inlineStr">
        <is>
          <t>ED-P16</t>
        </is>
      </c>
      <c r="F192" s="20" t="inlineStr">
        <is>
          <t>Pilotes</t>
        </is>
      </c>
      <c r="G192" s="20" t="inlineStr">
        <is>
          <t>Margen Derecha</t>
        </is>
      </c>
      <c r="H192" s="20" t="inlineStr">
        <is>
          <t>Pilote</t>
        </is>
      </c>
      <c r="I192" s="20" t="inlineStr">
        <is>
          <t>PIL-MD</t>
        </is>
      </c>
      <c r="J192" s="20" t="n">
        <v>67.152</v>
      </c>
      <c r="K192" s="20" t="inlineStr">
        <is>
          <t>Ejecutado</t>
        </is>
      </c>
    </row>
    <row r="193">
      <c r="A193" s="20" t="n">
        <v>1092324</v>
      </c>
      <c r="B193" s="20" t="inlineStr">
        <is>
          <t>3zZFx4xL53DPPCX6YmUNAY</t>
        </is>
      </c>
      <c r="C193" s="20" t="inlineStr">
        <is>
          <t>BUILDINGELEMENTPROXY</t>
        </is>
      </c>
      <c r="D193" s="20" t="inlineStr">
        <is>
          <t>Tubo Metalico Ø50mm, Prueba UltraSonico:Tubo Metalico Ø50mm, Prueba UltraSonico L=38.425m:490606</t>
        </is>
      </c>
      <c r="E193" s="20" t="inlineStr">
        <is>
          <t>TB5</t>
        </is>
      </c>
      <c r="F193" s="20" t="inlineStr">
        <is>
          <t>Pilotes</t>
        </is>
      </c>
      <c r="G193" s="20" t="inlineStr">
        <is>
          <t>Margen Derecha</t>
        </is>
      </c>
      <c r="H193" s="20" t="inlineStr">
        <is>
          <t>Pilote</t>
        </is>
      </c>
      <c r="I193" s="20" t="inlineStr">
        <is>
          <t>PIL-MD</t>
        </is>
      </c>
      <c r="J193" s="20" t="n">
        <v>0.017</v>
      </c>
      <c r="K193" s="20" t="inlineStr">
        <is>
          <t>Ejecutado</t>
        </is>
      </c>
    </row>
    <row r="194">
      <c r="A194" s="20" t="n">
        <v>1092352</v>
      </c>
      <c r="B194" s="20" t="inlineStr">
        <is>
          <t>3zZFx4xL53DPPCX6YmUNAZ</t>
        </is>
      </c>
      <c r="C194" s="20" t="inlineStr">
        <is>
          <t>BUILDINGELEMENTPROXY</t>
        </is>
      </c>
      <c r="D194" s="20" t="inlineStr">
        <is>
          <t>Tubo Metalico Ø50mm, Prueba UltraSonico:Tubo Metalico Ø50mm, Prueba UltraSonico L=38.425m:490607</t>
        </is>
      </c>
      <c r="E194" s="20" t="inlineStr">
        <is>
          <t>TB5</t>
        </is>
      </c>
      <c r="F194" s="20" t="inlineStr">
        <is>
          <t>Pilotes</t>
        </is>
      </c>
      <c r="G194" s="20" t="inlineStr">
        <is>
          <t>Margen Derecha</t>
        </is>
      </c>
      <c r="H194" s="20" t="inlineStr">
        <is>
          <t>Pilote</t>
        </is>
      </c>
      <c r="I194" s="20" t="inlineStr">
        <is>
          <t>PIL-MD</t>
        </is>
      </c>
      <c r="J194" s="20" t="n">
        <v>0.017</v>
      </c>
      <c r="K194" s="20" t="inlineStr">
        <is>
          <t>Ejecutado</t>
        </is>
      </c>
    </row>
    <row r="195">
      <c r="A195" s="20" t="n">
        <v>1092380</v>
      </c>
      <c r="B195" s="20" t="inlineStr">
        <is>
          <t>3zZFx4xL53DPPCX6YmUNAy</t>
        </is>
      </c>
      <c r="C195" s="20" t="inlineStr">
        <is>
          <t>BUILDINGELEMENTPROXY</t>
        </is>
      </c>
      <c r="D195" s="20" t="inlineStr">
        <is>
          <t>Tubo Metalico Ø50mm, Prueba UltraSonico:Tubo Metalico Ø50mm, Prueba UltraSonico L=38.425m:490608</t>
        </is>
      </c>
      <c r="E195" s="20" t="inlineStr">
        <is>
          <t>TB5</t>
        </is>
      </c>
      <c r="F195" s="20" t="inlineStr">
        <is>
          <t>Pilotes</t>
        </is>
      </c>
      <c r="G195" s="20" t="inlineStr">
        <is>
          <t>Margen Derecha</t>
        </is>
      </c>
      <c r="H195" s="20" t="inlineStr">
        <is>
          <t>Pilote</t>
        </is>
      </c>
      <c r="I195" s="20" t="inlineStr">
        <is>
          <t>PIL-MD</t>
        </is>
      </c>
      <c r="J195" s="20" t="n">
        <v>0.017</v>
      </c>
      <c r="K195" s="20" t="inlineStr">
        <is>
          <t>Ejecutado</t>
        </is>
      </c>
    </row>
    <row r="196">
      <c r="A196" s="20" t="n">
        <v>1092408</v>
      </c>
      <c r="B196" s="20" t="inlineStr">
        <is>
          <t>3zZFx4xL53DPPCX6YmUNAz</t>
        </is>
      </c>
      <c r="C196" s="20" t="inlineStr">
        <is>
          <t>BUILDINGELEMENTPROXY</t>
        </is>
      </c>
      <c r="D196" s="20" t="inlineStr">
        <is>
          <t>Tubo Metalico Ø50mm, Prueba UltraSonico:Tubo Metalico Ø50mm, Prueba UltraSonico L=38.425m:490609</t>
        </is>
      </c>
      <c r="E196" s="20" t="inlineStr">
        <is>
          <t>TB5</t>
        </is>
      </c>
      <c r="F196" s="20" t="inlineStr">
        <is>
          <t>Pilotes</t>
        </is>
      </c>
      <c r="G196" s="20" t="inlineStr">
        <is>
          <t>Margen Derecha</t>
        </is>
      </c>
      <c r="H196" s="20" t="inlineStr">
        <is>
          <t>Pilote</t>
        </is>
      </c>
      <c r="I196" s="20" t="inlineStr">
        <is>
          <t>PIL-MD</t>
        </is>
      </c>
      <c r="J196" s="20" t="n">
        <v>0.017</v>
      </c>
      <c r="K196" s="20" t="inlineStr">
        <is>
          <t>Ejecutado</t>
        </is>
      </c>
    </row>
    <row r="197">
      <c r="A197" s="20" t="n">
        <v>333</v>
      </c>
      <c r="B197" s="20" t="inlineStr">
        <is>
          <t>2t1$kOTDX16wjqwHtKT$QL</t>
        </is>
      </c>
      <c r="C197" s="20" t="inlineStr">
        <is>
          <t>SLAB</t>
        </is>
      </c>
      <c r="D197" s="20" t="inlineStr">
        <is>
          <t>Estribos_Pilote:Pilote_D1500_H30000_fc280:406833</t>
        </is>
      </c>
      <c r="E197" s="20" t="inlineStr">
        <is>
          <t>EI-P19</t>
        </is>
      </c>
      <c r="F197" s="20" t="inlineStr">
        <is>
          <t>Pilotes</t>
        </is>
      </c>
      <c r="G197" s="20" t="inlineStr">
        <is>
          <t>Margen Izquierda</t>
        </is>
      </c>
      <c r="H197" s="20" t="inlineStr">
        <is>
          <t>Pilote</t>
        </is>
      </c>
      <c r="I197" s="20" t="inlineStr">
        <is>
          <t>PIL-MI</t>
        </is>
      </c>
      <c r="J197" s="20" t="n">
        <v>53.014</v>
      </c>
      <c r="K197" s="20" t="inlineStr">
        <is>
          <t>Ejecutado</t>
        </is>
      </c>
    </row>
    <row r="198">
      <c r="A198" s="20" t="n">
        <v>56278</v>
      </c>
      <c r="B198" s="20" t="inlineStr">
        <is>
          <t>1jnw_zha1FXQbUJieyT4zq</t>
        </is>
      </c>
      <c r="C198" s="20" t="inlineStr">
        <is>
          <t>BUILDINGELEMENTPROXY</t>
        </is>
      </c>
      <c r="D198" s="20" t="inlineStr">
        <is>
          <t>Tubo Metalico Ø50mm, Prueba UltraSonico:Tubo Metalico Ø50mm, Prueba UltraSonico L=30.425m:452168</t>
        </is>
      </c>
      <c r="E198" s="20" t="inlineStr">
        <is>
          <t>TB5</t>
        </is>
      </c>
      <c r="F198" s="20" t="inlineStr">
        <is>
          <t>Pilotes</t>
        </is>
      </c>
      <c r="G198" s="20" t="inlineStr">
        <is>
          <t>Margen Izquierda</t>
        </is>
      </c>
      <c r="H198" s="20" t="inlineStr">
        <is>
          <t>Pilote</t>
        </is>
      </c>
      <c r="I198" s="20" t="inlineStr">
        <is>
          <t>PIL-MI</t>
        </is>
      </c>
      <c r="J198" s="20" t="n">
        <v>0.013</v>
      </c>
      <c r="K198" s="20" t="inlineStr">
        <is>
          <t>Ejecutado</t>
        </is>
      </c>
    </row>
    <row r="199">
      <c r="A199" s="20" t="n">
        <v>56336</v>
      </c>
      <c r="B199" s="20" t="inlineStr">
        <is>
          <t>1jnw_zha1FXQbUJieyT4zr</t>
        </is>
      </c>
      <c r="C199" s="20" t="inlineStr">
        <is>
          <t>BUILDINGELEMENTPROXY</t>
        </is>
      </c>
      <c r="D199" s="20" t="inlineStr">
        <is>
          <t>Tubo Metalico Ø50mm, Prueba UltraSonico:Tubo Metalico Ø50mm, Prueba UltraSonico L=30.425m:452169</t>
        </is>
      </c>
      <c r="E199" s="20" t="inlineStr">
        <is>
          <t>TB5</t>
        </is>
      </c>
      <c r="F199" s="20" t="inlineStr">
        <is>
          <t>Pilotes</t>
        </is>
      </c>
      <c r="G199" s="20" t="inlineStr">
        <is>
          <t>Margen Izquierda</t>
        </is>
      </c>
      <c r="H199" s="20" t="inlineStr">
        <is>
          <t>Pilote</t>
        </is>
      </c>
      <c r="I199" s="20" t="inlineStr">
        <is>
          <t>PIL-MI</t>
        </is>
      </c>
      <c r="J199" s="20" t="n">
        <v>0.013</v>
      </c>
      <c r="K199" s="20" t="inlineStr">
        <is>
          <t>Ejecutado</t>
        </is>
      </c>
    </row>
    <row r="200">
      <c r="A200" s="20" t="n">
        <v>56365</v>
      </c>
      <c r="B200" s="20" t="inlineStr">
        <is>
          <t>1jnw_zha1FXQbUJieyT4zs</t>
        </is>
      </c>
      <c r="C200" s="20" t="inlineStr">
        <is>
          <t>BUILDINGELEMENTPROXY</t>
        </is>
      </c>
      <c r="D200" s="20" t="inlineStr">
        <is>
          <t>Tubo Metalico Ø50mm, Prueba UltraSonico:Tubo Metalico Ø50mm, Prueba UltraSonico L=30.425m:452170</t>
        </is>
      </c>
      <c r="E200" s="20" t="inlineStr">
        <is>
          <t>TB5</t>
        </is>
      </c>
      <c r="F200" s="20" t="inlineStr">
        <is>
          <t>Pilotes</t>
        </is>
      </c>
      <c r="G200" s="20" t="inlineStr">
        <is>
          <t>Margen Izquierda</t>
        </is>
      </c>
      <c r="H200" s="20" t="inlineStr">
        <is>
          <t>Pilote</t>
        </is>
      </c>
      <c r="I200" s="20" t="inlineStr">
        <is>
          <t>PIL-MI</t>
        </is>
      </c>
      <c r="J200" s="20" t="n">
        <v>0.013</v>
      </c>
      <c r="K200" s="20" t="inlineStr">
        <is>
          <t>Ejecutado</t>
        </is>
      </c>
    </row>
    <row r="201">
      <c r="A201" s="20" t="n">
        <v>56394</v>
      </c>
      <c r="B201" s="20" t="inlineStr">
        <is>
          <t>1jnw_zha1FXQbUJieyT4zt</t>
        </is>
      </c>
      <c r="C201" s="20" t="inlineStr">
        <is>
          <t>BUILDINGELEMENTPROXY</t>
        </is>
      </c>
      <c r="D201" s="20" t="inlineStr">
        <is>
          <t>Tubo Metalico Ø50mm, Prueba UltraSonico:Tubo Metalico Ø50mm, Prueba UltraSonico L=30.425m:452171</t>
        </is>
      </c>
      <c r="E201" s="20" t="inlineStr">
        <is>
          <t>TB5</t>
        </is>
      </c>
      <c r="F201" s="20" t="inlineStr">
        <is>
          <t>Pilotes</t>
        </is>
      </c>
      <c r="G201" s="20" t="inlineStr">
        <is>
          <t>Margen Izquierda</t>
        </is>
      </c>
      <c r="H201" s="20" t="inlineStr">
        <is>
          <t>Pilote</t>
        </is>
      </c>
      <c r="I201" s="20" t="inlineStr">
        <is>
          <t>PIL-MI</t>
        </is>
      </c>
      <c r="J201" s="20" t="n">
        <v>0.013</v>
      </c>
      <c r="K201" s="20" t="inlineStr">
        <is>
          <t>Ejecutado</t>
        </is>
      </c>
    </row>
    <row r="202">
      <c r="A202" s="20" t="n">
        <v>56464</v>
      </c>
      <c r="B202" s="20" t="inlineStr">
        <is>
          <t>3zZFx4xL53DPPCX6YmUKUh</t>
        </is>
      </c>
      <c r="C202" s="20" t="inlineStr">
        <is>
          <t>SLAB</t>
        </is>
      </c>
      <c r="D202" s="20" t="inlineStr">
        <is>
          <t>Estribos_Pilote:Pilote_D1500_H30000_fc280:477543</t>
        </is>
      </c>
      <c r="E202" s="20" t="inlineStr">
        <is>
          <t>EI-P21</t>
        </is>
      </c>
      <c r="F202" s="20" t="inlineStr">
        <is>
          <t>Pilotes</t>
        </is>
      </c>
      <c r="G202" s="20" t="inlineStr">
        <is>
          <t>Margen Izquierda</t>
        </is>
      </c>
      <c r="H202" s="20" t="inlineStr">
        <is>
          <t>Pilote</t>
        </is>
      </c>
      <c r="I202" s="20" t="inlineStr">
        <is>
          <t>PIL-MI</t>
        </is>
      </c>
      <c r="J202" s="20" t="n">
        <v>53.014</v>
      </c>
      <c r="K202" s="20" t="inlineStr">
        <is>
          <t>Ejecutado</t>
        </is>
      </c>
    </row>
    <row r="203">
      <c r="A203" s="20" t="n">
        <v>110838</v>
      </c>
      <c r="B203" s="20" t="inlineStr">
        <is>
          <t>3zZFx4xL53DPPCX6YmUKLn</t>
        </is>
      </c>
      <c r="C203" s="20" t="inlineStr">
        <is>
          <t>BUILDINGELEMENTPROXY</t>
        </is>
      </c>
      <c r="D203" s="20" t="inlineStr">
        <is>
          <t>Tubo Metalico Ø50mm, Prueba UltraSonico:Tubo Metalico Ø50mm, Prueba UltraSonico L=30.425m:478141</t>
        </is>
      </c>
      <c r="E203" s="20" t="inlineStr">
        <is>
          <t>TB5</t>
        </is>
      </c>
      <c r="F203" s="20" t="inlineStr">
        <is>
          <t>Pilotes</t>
        </is>
      </c>
      <c r="G203" s="20" t="inlineStr">
        <is>
          <t>Margen Izquierda</t>
        </is>
      </c>
      <c r="H203" s="20" t="inlineStr">
        <is>
          <t>Pilote</t>
        </is>
      </c>
      <c r="I203" s="20" t="inlineStr">
        <is>
          <t>PIL-MI</t>
        </is>
      </c>
      <c r="J203" s="20" t="n">
        <v>0.013</v>
      </c>
      <c r="K203" s="20" t="inlineStr">
        <is>
          <t>Ejecutado</t>
        </is>
      </c>
    </row>
    <row r="204">
      <c r="A204" s="20" t="n">
        <v>110866</v>
      </c>
      <c r="B204" s="20" t="inlineStr">
        <is>
          <t>3zZFx4xL53DPPCX6YmUKLo</t>
        </is>
      </c>
      <c r="C204" s="20" t="inlineStr">
        <is>
          <t>BUILDINGELEMENTPROXY</t>
        </is>
      </c>
      <c r="D204" s="20" t="inlineStr">
        <is>
          <t>Tubo Metalico Ø50mm, Prueba UltraSonico:Tubo Metalico Ø50mm, Prueba UltraSonico L=30.425m:478142</t>
        </is>
      </c>
      <c r="E204" s="20" t="inlineStr">
        <is>
          <t>TB5</t>
        </is>
      </c>
      <c r="F204" s="20" t="inlineStr">
        <is>
          <t>Pilotes</t>
        </is>
      </c>
      <c r="G204" s="20" t="inlineStr">
        <is>
          <t>Margen Izquierda</t>
        </is>
      </c>
      <c r="H204" s="20" t="inlineStr">
        <is>
          <t>Pilote</t>
        </is>
      </c>
      <c r="I204" s="20" t="inlineStr">
        <is>
          <t>PIL-MI</t>
        </is>
      </c>
      <c r="J204" s="20" t="n">
        <v>0.013</v>
      </c>
      <c r="K204" s="20" t="inlineStr">
        <is>
          <t>Ejecutado</t>
        </is>
      </c>
    </row>
    <row r="205">
      <c r="A205" s="20" t="n">
        <v>110894</v>
      </c>
      <c r="B205" s="20" t="inlineStr">
        <is>
          <t>3zZFx4xL53DPPCX6YmUKLp</t>
        </is>
      </c>
      <c r="C205" s="20" t="inlineStr">
        <is>
          <t>BUILDINGELEMENTPROXY</t>
        </is>
      </c>
      <c r="D205" s="20" t="inlineStr">
        <is>
          <t>Tubo Metalico Ø50mm, Prueba UltraSonico:Tubo Metalico Ø50mm, Prueba UltraSonico L=30.425m:478143</t>
        </is>
      </c>
      <c r="E205" s="20" t="inlineStr">
        <is>
          <t>TB5</t>
        </is>
      </c>
      <c r="F205" s="20" t="inlineStr">
        <is>
          <t>Pilotes</t>
        </is>
      </c>
      <c r="G205" s="20" t="inlineStr">
        <is>
          <t>Margen Izquierda</t>
        </is>
      </c>
      <c r="H205" s="20" t="inlineStr">
        <is>
          <t>Pilote</t>
        </is>
      </c>
      <c r="I205" s="20" t="inlineStr">
        <is>
          <t>PIL-MI</t>
        </is>
      </c>
      <c r="J205" s="20" t="n">
        <v>0.013</v>
      </c>
      <c r="K205" s="20" t="inlineStr">
        <is>
          <t>Ejecutado</t>
        </is>
      </c>
    </row>
    <row r="206">
      <c r="A206" s="20" t="n">
        <v>110922</v>
      </c>
      <c r="B206" s="20" t="inlineStr">
        <is>
          <t>3zZFx4xL53DPPCX6YmUKKC</t>
        </is>
      </c>
      <c r="C206" s="20" t="inlineStr">
        <is>
          <t>BUILDINGELEMENTPROXY</t>
        </is>
      </c>
      <c r="D206" s="20" t="inlineStr">
        <is>
          <t>Tubo Metalico Ø50mm, Prueba UltraSonico:Tubo Metalico Ø50mm, Prueba UltraSonico L=30.425m:478144</t>
        </is>
      </c>
      <c r="E206" s="20" t="inlineStr">
        <is>
          <t>TB5</t>
        </is>
      </c>
      <c r="F206" s="20" t="inlineStr">
        <is>
          <t>Pilotes</t>
        </is>
      </c>
      <c r="G206" s="20" t="inlineStr">
        <is>
          <t>Margen Izquierda</t>
        </is>
      </c>
      <c r="H206" s="20" t="inlineStr">
        <is>
          <t>Pilote</t>
        </is>
      </c>
      <c r="I206" s="20" t="inlineStr">
        <is>
          <t>PIL-MI</t>
        </is>
      </c>
      <c r="J206" s="20" t="n">
        <v>0.013</v>
      </c>
      <c r="K206" s="20" t="inlineStr">
        <is>
          <t>Ejecutado</t>
        </is>
      </c>
    </row>
    <row r="207">
      <c r="A207" s="20" t="n">
        <v>110991</v>
      </c>
      <c r="B207" s="20" t="inlineStr">
        <is>
          <t>3zZFx4xL53DPPCX6YmULxm</t>
        </is>
      </c>
      <c r="C207" s="20" t="inlineStr">
        <is>
          <t>SLAB</t>
        </is>
      </c>
      <c r="D207" s="20" t="inlineStr">
        <is>
          <t>Estribos_Pilote:Pilote_D1500_H30000_fc280:479292</t>
        </is>
      </c>
      <c r="E207" s="20" t="inlineStr">
        <is>
          <t>EI-P17</t>
        </is>
      </c>
      <c r="F207" s="20" t="inlineStr">
        <is>
          <t>Pilotes</t>
        </is>
      </c>
      <c r="G207" s="20" t="inlineStr">
        <is>
          <t>Margen Izquierda</t>
        </is>
      </c>
      <c r="H207" s="20" t="inlineStr">
        <is>
          <t>Pilote</t>
        </is>
      </c>
      <c r="I207" s="20" t="inlineStr">
        <is>
          <t>PIL-MI</t>
        </is>
      </c>
      <c r="J207" s="20" t="n">
        <v>53.014</v>
      </c>
      <c r="K207" s="20" t="inlineStr">
        <is>
          <t>Ejecutado</t>
        </is>
      </c>
    </row>
    <row r="208">
      <c r="A208" s="20" t="n">
        <v>165365</v>
      </c>
      <c r="B208" s="20" t="inlineStr">
        <is>
          <t>3zZFx4xL53DPPCX6YmULnU</t>
        </is>
      </c>
      <c r="C208" s="20" t="inlineStr">
        <is>
          <t>BUILDINGELEMENTPROXY</t>
        </is>
      </c>
      <c r="D208" s="20" t="inlineStr">
        <is>
          <t>Tubo Metalico Ø50mm, Prueba UltraSonico:Tubo Metalico Ø50mm, Prueba UltraSonico L=30.425m:479890</t>
        </is>
      </c>
      <c r="E208" s="20" t="inlineStr">
        <is>
          <t>TB5</t>
        </is>
      </c>
      <c r="F208" s="20" t="inlineStr">
        <is>
          <t>Pilotes</t>
        </is>
      </c>
      <c r="G208" s="20" t="inlineStr">
        <is>
          <t>Margen Izquierda</t>
        </is>
      </c>
      <c r="H208" s="20" t="inlineStr">
        <is>
          <t>Pilote</t>
        </is>
      </c>
      <c r="I208" s="20" t="inlineStr">
        <is>
          <t>PIL-MI</t>
        </is>
      </c>
      <c r="J208" s="20" t="n">
        <v>0.013</v>
      </c>
      <c r="K208" s="20" t="inlineStr">
        <is>
          <t>Ejecutado</t>
        </is>
      </c>
    </row>
    <row r="209">
      <c r="A209" s="20" t="n">
        <v>165393</v>
      </c>
      <c r="B209" s="20" t="inlineStr">
        <is>
          <t>3zZFx4xL53DPPCX6YmULnV</t>
        </is>
      </c>
      <c r="C209" s="20" t="inlineStr">
        <is>
          <t>BUILDINGELEMENTPROXY</t>
        </is>
      </c>
      <c r="D209" s="20" t="inlineStr">
        <is>
          <t>Tubo Metalico Ø50mm, Prueba UltraSonico:Tubo Metalico Ø50mm, Prueba UltraSonico L=30.425m:479891</t>
        </is>
      </c>
      <c r="E209" s="20" t="inlineStr">
        <is>
          <t>TB5</t>
        </is>
      </c>
      <c r="F209" s="20" t="inlineStr">
        <is>
          <t>Pilotes</t>
        </is>
      </c>
      <c r="G209" s="20" t="inlineStr">
        <is>
          <t>Margen Izquierda</t>
        </is>
      </c>
      <c r="H209" s="20" t="inlineStr">
        <is>
          <t>Pilote</t>
        </is>
      </c>
      <c r="I209" s="20" t="inlineStr">
        <is>
          <t>PIL-MI</t>
        </is>
      </c>
      <c r="J209" s="20" t="n">
        <v>0.013</v>
      </c>
      <c r="K209" s="20" t="inlineStr">
        <is>
          <t>Ejecutado</t>
        </is>
      </c>
    </row>
    <row r="210">
      <c r="A210" s="20" t="n">
        <v>165421</v>
      </c>
      <c r="B210" s="20" t="inlineStr">
        <is>
          <t>3zZFx4xL53DPPCX6YmULnO</t>
        </is>
      </c>
      <c r="C210" s="20" t="inlineStr">
        <is>
          <t>BUILDINGELEMENTPROXY</t>
        </is>
      </c>
      <c r="D210" s="20" t="inlineStr">
        <is>
          <t>Tubo Metalico Ø50mm, Prueba UltraSonico:Tubo Metalico Ø50mm, Prueba UltraSonico L=30.425m:479892</t>
        </is>
      </c>
      <c r="E210" s="20" t="inlineStr">
        <is>
          <t>TB5</t>
        </is>
      </c>
      <c r="F210" s="20" t="inlineStr">
        <is>
          <t>Pilotes</t>
        </is>
      </c>
      <c r="G210" s="20" t="inlineStr">
        <is>
          <t>Margen Izquierda</t>
        </is>
      </c>
      <c r="H210" s="20" t="inlineStr">
        <is>
          <t>Pilote</t>
        </is>
      </c>
      <c r="I210" s="20" t="inlineStr">
        <is>
          <t>PIL-MI</t>
        </is>
      </c>
      <c r="J210" s="20" t="n">
        <v>0.013</v>
      </c>
      <c r="K210" s="20" t="inlineStr">
        <is>
          <t>Ejecutado</t>
        </is>
      </c>
    </row>
    <row r="211">
      <c r="A211" s="20" t="n">
        <v>165449</v>
      </c>
      <c r="B211" s="20" t="inlineStr">
        <is>
          <t>3zZFx4xL53DPPCX6YmULnP</t>
        </is>
      </c>
      <c r="C211" s="20" t="inlineStr">
        <is>
          <t>BUILDINGELEMENTPROXY</t>
        </is>
      </c>
      <c r="D211" s="20" t="inlineStr">
        <is>
          <t>Tubo Metalico Ø50mm, Prueba UltraSonico:Tubo Metalico Ø50mm, Prueba UltraSonico L=30.425m:479893</t>
        </is>
      </c>
      <c r="E211" s="20" t="inlineStr">
        <is>
          <t>TB5</t>
        </is>
      </c>
      <c r="F211" s="20" t="inlineStr">
        <is>
          <t>Pilotes</t>
        </is>
      </c>
      <c r="G211" s="20" t="inlineStr">
        <is>
          <t>Margen Izquierda</t>
        </is>
      </c>
      <c r="H211" s="20" t="inlineStr">
        <is>
          <t>Pilote</t>
        </is>
      </c>
      <c r="I211" s="20" t="inlineStr">
        <is>
          <t>PIL-MI</t>
        </is>
      </c>
      <c r="J211" s="20" t="n">
        <v>0.013</v>
      </c>
      <c r="K211" s="20" t="inlineStr">
        <is>
          <t>Ejecutado</t>
        </is>
      </c>
    </row>
    <row r="212">
      <c r="A212" s="20" t="n">
        <v>165518</v>
      </c>
      <c r="B212" s="20" t="inlineStr">
        <is>
          <t>3zZFx4xL53DPPCX6YmULnY</t>
        </is>
      </c>
      <c r="C212" s="20" t="inlineStr">
        <is>
          <t>SLAB</t>
        </is>
      </c>
      <c r="D212" s="20" t="inlineStr">
        <is>
          <t>Estribos_Pilote:Pilote_D1500_H30000_fc280:479918</t>
        </is>
      </c>
      <c r="E212" s="20" t="inlineStr">
        <is>
          <t>EI-P20</t>
        </is>
      </c>
      <c r="F212" s="20" t="inlineStr">
        <is>
          <t>Pilotes</t>
        </is>
      </c>
      <c r="G212" s="20" t="inlineStr">
        <is>
          <t>Margen Izquierda</t>
        </is>
      </c>
      <c r="H212" s="20" t="inlineStr">
        <is>
          <t>Pilote</t>
        </is>
      </c>
      <c r="I212" s="20" t="inlineStr">
        <is>
          <t>PIL-MI</t>
        </is>
      </c>
      <c r="J212" s="20" t="n">
        <v>53.014</v>
      </c>
      <c r="K212" s="20" t="inlineStr">
        <is>
          <t>Ejecutado</t>
        </is>
      </c>
    </row>
    <row r="213">
      <c r="A213" s="20" t="n">
        <v>219892</v>
      </c>
      <c r="B213" s="20" t="inlineStr">
        <is>
          <t>3zZFx4xL53DPPCX6YmULl8</t>
        </is>
      </c>
      <c r="C213" s="20" t="inlineStr">
        <is>
          <t>BUILDINGELEMENTPROXY</t>
        </is>
      </c>
      <c r="D213" s="20" t="inlineStr">
        <is>
          <t>Tubo Metalico Ø50mm, Prueba UltraSonico:Tubo Metalico Ø50mm, Prueba UltraSonico L=30.425m:480516</t>
        </is>
      </c>
      <c r="E213" s="20" t="inlineStr">
        <is>
          <t>TB5</t>
        </is>
      </c>
      <c r="F213" s="20" t="inlineStr">
        <is>
          <t>Pilotes</t>
        </is>
      </c>
      <c r="G213" s="20" t="inlineStr">
        <is>
          <t>Margen Izquierda</t>
        </is>
      </c>
      <c r="H213" s="20" t="inlineStr">
        <is>
          <t>Pilote</t>
        </is>
      </c>
      <c r="I213" s="20" t="inlineStr">
        <is>
          <t>PIL-MI</t>
        </is>
      </c>
      <c r="J213" s="20" t="n">
        <v>0.013</v>
      </c>
      <c r="K213" s="20" t="inlineStr">
        <is>
          <t>Ejecutado</t>
        </is>
      </c>
    </row>
    <row r="214">
      <c r="A214" s="20" t="n">
        <v>219920</v>
      </c>
      <c r="B214" s="20" t="inlineStr">
        <is>
          <t>3zZFx4xL53DPPCX6YmULl9</t>
        </is>
      </c>
      <c r="C214" s="20" t="inlineStr">
        <is>
          <t>BUILDINGELEMENTPROXY</t>
        </is>
      </c>
      <c r="D214" s="20" t="inlineStr">
        <is>
          <t>Tubo Metalico Ø50mm, Prueba UltraSonico:Tubo Metalico Ø50mm, Prueba UltraSonico L=30.425m:480517</t>
        </is>
      </c>
      <c r="E214" s="20" t="inlineStr">
        <is>
          <t>TB5</t>
        </is>
      </c>
      <c r="F214" s="20" t="inlineStr">
        <is>
          <t>Pilotes</t>
        </is>
      </c>
      <c r="G214" s="20" t="inlineStr">
        <is>
          <t>Margen Izquierda</t>
        </is>
      </c>
      <c r="H214" s="20" t="inlineStr">
        <is>
          <t>Pilote</t>
        </is>
      </c>
      <c r="I214" s="20" t="inlineStr">
        <is>
          <t>PIL-MI</t>
        </is>
      </c>
      <c r="J214" s="20" t="n">
        <v>0.013</v>
      </c>
      <c r="K214" s="20" t="inlineStr">
        <is>
          <t>Ejecutado</t>
        </is>
      </c>
    </row>
    <row r="215">
      <c r="A215" s="20" t="n">
        <v>219948</v>
      </c>
      <c r="B215" s="20" t="inlineStr">
        <is>
          <t>3zZFx4xL53DPPCX6YmULlA</t>
        </is>
      </c>
      <c r="C215" s="20" t="inlineStr">
        <is>
          <t>BUILDINGELEMENTPROXY</t>
        </is>
      </c>
      <c r="D215" s="20" t="inlineStr">
        <is>
          <t>Tubo Metalico Ø50mm, Prueba UltraSonico:Tubo Metalico Ø50mm, Prueba UltraSonico L=30.425m:480518</t>
        </is>
      </c>
      <c r="E215" s="20" t="inlineStr">
        <is>
          <t>TB5</t>
        </is>
      </c>
      <c r="F215" s="20" t="inlineStr">
        <is>
          <t>Pilotes</t>
        </is>
      </c>
      <c r="G215" s="20" t="inlineStr">
        <is>
          <t>Margen Izquierda</t>
        </is>
      </c>
      <c r="H215" s="20" t="inlineStr">
        <is>
          <t>Pilote</t>
        </is>
      </c>
      <c r="I215" s="20" t="inlineStr">
        <is>
          <t>PIL-MI</t>
        </is>
      </c>
      <c r="J215" s="20" t="n">
        <v>0.013</v>
      </c>
      <c r="K215" s="20" t="inlineStr">
        <is>
          <t>Ejecutado</t>
        </is>
      </c>
    </row>
    <row r="216">
      <c r="A216" s="20" t="n">
        <v>219976</v>
      </c>
      <c r="B216" s="20" t="inlineStr">
        <is>
          <t>3zZFx4xL53DPPCX6YmULlB</t>
        </is>
      </c>
      <c r="C216" s="20" t="inlineStr">
        <is>
          <t>BUILDINGELEMENTPROXY</t>
        </is>
      </c>
      <c r="D216" s="20" t="inlineStr">
        <is>
          <t>Tubo Metalico Ø50mm, Prueba UltraSonico:Tubo Metalico Ø50mm, Prueba UltraSonico L=30.425m:480519</t>
        </is>
      </c>
      <c r="E216" s="20" t="inlineStr">
        <is>
          <t>TB5</t>
        </is>
      </c>
      <c r="F216" s="20" t="inlineStr">
        <is>
          <t>Pilotes</t>
        </is>
      </c>
      <c r="G216" s="20" t="inlineStr">
        <is>
          <t>Margen Izquierda</t>
        </is>
      </c>
      <c r="H216" s="20" t="inlineStr">
        <is>
          <t>Pilote</t>
        </is>
      </c>
      <c r="I216" s="20" t="inlineStr">
        <is>
          <t>PIL-MI</t>
        </is>
      </c>
      <c r="J216" s="20" t="n">
        <v>0.013</v>
      </c>
      <c r="K216" s="20" t="inlineStr">
        <is>
          <t>Ejecutado</t>
        </is>
      </c>
    </row>
    <row r="217">
      <c r="A217" s="20" t="n">
        <v>220045</v>
      </c>
      <c r="B217" s="20" t="inlineStr">
        <is>
          <t>3zZFx4xL53DPPCX6YmULli</t>
        </is>
      </c>
      <c r="C217" s="20" t="inlineStr">
        <is>
          <t>SLAB</t>
        </is>
      </c>
      <c r="D217" s="20" t="inlineStr">
        <is>
          <t>Estribos_Pilote:Pilote_D1500_H30000_fc280:480544</t>
        </is>
      </c>
      <c r="E217" s="20" t="inlineStr">
        <is>
          <t>EI-P18</t>
        </is>
      </c>
      <c r="F217" s="20" t="inlineStr">
        <is>
          <t>Pilotes</t>
        </is>
      </c>
      <c r="G217" s="20" t="inlineStr">
        <is>
          <t>Margen Izquierda</t>
        </is>
      </c>
      <c r="H217" s="20" t="inlineStr">
        <is>
          <t>Pilote</t>
        </is>
      </c>
      <c r="I217" s="20" t="inlineStr">
        <is>
          <t>PIL-MI</t>
        </is>
      </c>
      <c r="J217" s="20" t="n">
        <v>53.014</v>
      </c>
      <c r="K217" s="20" t="inlineStr">
        <is>
          <t>Ejecutado</t>
        </is>
      </c>
    </row>
    <row r="218">
      <c r="A218" s="20" t="n">
        <v>274419</v>
      </c>
      <c r="B218" s="20" t="inlineStr">
        <is>
          <t>3zZFx4xL53DPPCX6YmULcw</t>
        </is>
      </c>
      <c r="C218" s="20" t="inlineStr">
        <is>
          <t>BUILDINGELEMENTPROXY</t>
        </is>
      </c>
      <c r="D218" s="20" t="inlineStr">
        <is>
          <t>Tubo Metalico Ø50mm, Prueba UltraSonico:Tubo Metalico Ø50mm, Prueba UltraSonico L=30.425m:481142</t>
        </is>
      </c>
      <c r="E218" s="20" t="inlineStr">
        <is>
          <t>TB5</t>
        </is>
      </c>
      <c r="F218" s="20" t="inlineStr">
        <is>
          <t>Pilotes</t>
        </is>
      </c>
      <c r="G218" s="20" t="inlineStr">
        <is>
          <t>Margen Izquierda</t>
        </is>
      </c>
      <c r="H218" s="20" t="inlineStr">
        <is>
          <t>Pilote</t>
        </is>
      </c>
      <c r="I218" s="20" t="inlineStr">
        <is>
          <t>PIL-MI</t>
        </is>
      </c>
      <c r="J218" s="20" t="n">
        <v>0.013</v>
      </c>
      <c r="K218" s="20" t="inlineStr">
        <is>
          <t>Ejecutado</t>
        </is>
      </c>
    </row>
    <row r="219">
      <c r="A219" s="20" t="n">
        <v>274447</v>
      </c>
      <c r="B219" s="20" t="inlineStr">
        <is>
          <t>3zZFx4xL53DPPCX6YmULcx</t>
        </is>
      </c>
      <c r="C219" s="20" t="inlineStr">
        <is>
          <t>BUILDINGELEMENTPROXY</t>
        </is>
      </c>
      <c r="D219" s="20" t="inlineStr">
        <is>
          <t>Tubo Metalico Ø50mm, Prueba UltraSonico:Tubo Metalico Ø50mm, Prueba UltraSonico L=30.425m:481143</t>
        </is>
      </c>
      <c r="E219" s="20" t="inlineStr">
        <is>
          <t>TB5</t>
        </is>
      </c>
      <c r="F219" s="20" t="inlineStr">
        <is>
          <t>Pilotes</t>
        </is>
      </c>
      <c r="G219" s="20" t="inlineStr">
        <is>
          <t>Margen Izquierda</t>
        </is>
      </c>
      <c r="H219" s="20" t="inlineStr">
        <is>
          <t>Pilote</t>
        </is>
      </c>
      <c r="I219" s="20" t="inlineStr">
        <is>
          <t>PIL-MI</t>
        </is>
      </c>
      <c r="J219" s="20" t="n">
        <v>0.013</v>
      </c>
      <c r="K219" s="20" t="inlineStr">
        <is>
          <t>Ejecutado</t>
        </is>
      </c>
    </row>
    <row r="220">
      <c r="A220" s="20" t="n">
        <v>274475</v>
      </c>
      <c r="B220" s="20" t="inlineStr">
        <is>
          <t>3zZFx4xL53DPPCX6YmULcq</t>
        </is>
      </c>
      <c r="C220" s="20" t="inlineStr">
        <is>
          <t>BUILDINGELEMENTPROXY</t>
        </is>
      </c>
      <c r="D220" s="20" t="inlineStr">
        <is>
          <t>Tubo Metalico Ø50mm, Prueba UltraSonico:Tubo Metalico Ø50mm, Prueba UltraSonico L=30.425m:481144</t>
        </is>
      </c>
      <c r="E220" s="20" t="inlineStr">
        <is>
          <t>TB5</t>
        </is>
      </c>
      <c r="F220" s="20" t="inlineStr">
        <is>
          <t>Pilotes</t>
        </is>
      </c>
      <c r="G220" s="20" t="inlineStr">
        <is>
          <t>Margen Izquierda</t>
        </is>
      </c>
      <c r="H220" s="20" t="inlineStr">
        <is>
          <t>Pilote</t>
        </is>
      </c>
      <c r="I220" s="20" t="inlineStr">
        <is>
          <t>PIL-MI</t>
        </is>
      </c>
      <c r="J220" s="20" t="n">
        <v>0.013</v>
      </c>
      <c r="K220" s="20" t="inlineStr">
        <is>
          <t>Ejecutado</t>
        </is>
      </c>
    </row>
    <row r="221">
      <c r="A221" s="20" t="n">
        <v>274503</v>
      </c>
      <c r="B221" s="20" t="inlineStr">
        <is>
          <t>3zZFx4xL53DPPCX6YmULcr</t>
        </is>
      </c>
      <c r="C221" s="20" t="inlineStr">
        <is>
          <t>BUILDINGELEMENTPROXY</t>
        </is>
      </c>
      <c r="D221" s="20" t="inlineStr">
        <is>
          <t>Tubo Metalico Ø50mm, Prueba UltraSonico:Tubo Metalico Ø50mm, Prueba UltraSonico L=30.425m:481145</t>
        </is>
      </c>
      <c r="E221" s="20" t="inlineStr">
        <is>
          <t>TB5</t>
        </is>
      </c>
      <c r="F221" s="20" t="inlineStr">
        <is>
          <t>Pilotes</t>
        </is>
      </c>
      <c r="G221" s="20" t="inlineStr">
        <is>
          <t>Margen Izquierda</t>
        </is>
      </c>
      <c r="H221" s="20" t="inlineStr">
        <is>
          <t>Pilote</t>
        </is>
      </c>
      <c r="I221" s="20" t="inlineStr">
        <is>
          <t>PIL-MI</t>
        </is>
      </c>
      <c r="J221" s="20" t="n">
        <v>0.013</v>
      </c>
      <c r="K221" s="20" t="inlineStr">
        <is>
          <t>Ejecutado</t>
        </is>
      </c>
    </row>
    <row r="222">
      <c r="A222" s="20" t="n">
        <v>304550</v>
      </c>
      <c r="B222" s="20" t="inlineStr">
        <is>
          <t>3zZFx4xL53DPPCX6YmULU6</t>
        </is>
      </c>
      <c r="C222" s="20" t="inlineStr">
        <is>
          <t>SLAB</t>
        </is>
      </c>
      <c r="D222" s="20" t="inlineStr">
        <is>
          <t>Estribos_Pilote:Pilote_D1500_H30000_fc280:481610</t>
        </is>
      </c>
      <c r="E222" s="20" t="inlineStr">
        <is>
          <t>EI-P3</t>
        </is>
      </c>
      <c r="F222" s="20" t="inlineStr">
        <is>
          <t>Pilotes</t>
        </is>
      </c>
      <c r="G222" s="20" t="inlineStr">
        <is>
          <t>Margen Izquierda</t>
        </is>
      </c>
      <c r="H222" s="20" t="inlineStr">
        <is>
          <t>Pilote</t>
        </is>
      </c>
      <c r="I222" s="20" t="inlineStr">
        <is>
          <t>PIL-MI</t>
        </is>
      </c>
      <c r="J222" s="20" t="n">
        <v>53.014</v>
      </c>
      <c r="K222" s="20" t="inlineStr">
        <is>
          <t>Ejecutado</t>
        </is>
      </c>
    </row>
    <row r="223">
      <c r="A223" s="20" t="n">
        <v>328946</v>
      </c>
      <c r="B223" s="20" t="inlineStr">
        <is>
          <t>3zZFx4xL53DPPCX6YmULI7</t>
        </is>
      </c>
      <c r="C223" s="20" t="inlineStr">
        <is>
          <t>BUILDINGELEMENTPROXY</t>
        </is>
      </c>
      <c r="D223" s="20" t="inlineStr">
        <is>
          <t>Tubo Metalico Ø50mm, Prueba UltraSonico:Tubo Metalico Ø50mm, Prueba UltraSonico L=30.425m:481867</t>
        </is>
      </c>
      <c r="E223" s="20" t="inlineStr">
        <is>
          <t>TB5</t>
        </is>
      </c>
      <c r="F223" s="20" t="inlineStr">
        <is>
          <t>Pilotes</t>
        </is>
      </c>
      <c r="G223" s="20" t="inlineStr">
        <is>
          <t>Margen Izquierda</t>
        </is>
      </c>
      <c r="H223" s="20" t="inlineStr">
        <is>
          <t>Pilote</t>
        </is>
      </c>
      <c r="I223" s="20" t="inlineStr">
        <is>
          <t>PIL-MI</t>
        </is>
      </c>
      <c r="J223" s="20" t="n">
        <v>0.013</v>
      </c>
      <c r="K223" s="20" t="inlineStr">
        <is>
          <t>Ejecutado</t>
        </is>
      </c>
    </row>
    <row r="224">
      <c r="A224" s="20" t="n">
        <v>328974</v>
      </c>
      <c r="B224" s="20" t="inlineStr">
        <is>
          <t>3zZFx4xL53DPPCX6YmULI0</t>
        </is>
      </c>
      <c r="C224" s="20" t="inlineStr">
        <is>
          <t>BUILDINGELEMENTPROXY</t>
        </is>
      </c>
      <c r="D224" s="20" t="inlineStr">
        <is>
          <t>Tubo Metalico Ø50mm, Prueba UltraSonico:Tubo Metalico Ø50mm, Prueba UltraSonico L=30.425m:481868</t>
        </is>
      </c>
      <c r="E224" s="20" t="inlineStr">
        <is>
          <t>TB5</t>
        </is>
      </c>
      <c r="F224" s="20" t="inlineStr">
        <is>
          <t>Pilotes</t>
        </is>
      </c>
      <c r="G224" s="20" t="inlineStr">
        <is>
          <t>Margen Izquierda</t>
        </is>
      </c>
      <c r="H224" s="20" t="inlineStr">
        <is>
          <t>Pilote</t>
        </is>
      </c>
      <c r="I224" s="20" t="inlineStr">
        <is>
          <t>PIL-MI</t>
        </is>
      </c>
      <c r="J224" s="20" t="n">
        <v>0.013</v>
      </c>
      <c r="K224" s="20" t="inlineStr">
        <is>
          <t>Ejecutado</t>
        </is>
      </c>
    </row>
    <row r="225">
      <c r="A225" s="20" t="n">
        <v>329002</v>
      </c>
      <c r="B225" s="20" t="inlineStr">
        <is>
          <t>3zZFx4xL53DPPCX6YmULI1</t>
        </is>
      </c>
      <c r="C225" s="20" t="inlineStr">
        <is>
          <t>BUILDINGELEMENTPROXY</t>
        </is>
      </c>
      <c r="D225" s="20" t="inlineStr">
        <is>
          <t>Tubo Metalico Ø50mm, Prueba UltraSonico:Tubo Metalico Ø50mm, Prueba UltraSonico L=30.425m:481869</t>
        </is>
      </c>
      <c r="E225" s="20" t="inlineStr">
        <is>
          <t>TB5</t>
        </is>
      </c>
      <c r="F225" s="20" t="inlineStr">
        <is>
          <t>Pilotes</t>
        </is>
      </c>
      <c r="G225" s="20" t="inlineStr">
        <is>
          <t>Margen Izquierda</t>
        </is>
      </c>
      <c r="H225" s="20" t="inlineStr">
        <is>
          <t>Pilote</t>
        </is>
      </c>
      <c r="I225" s="20" t="inlineStr">
        <is>
          <t>PIL-MI</t>
        </is>
      </c>
      <c r="J225" s="20" t="n">
        <v>0.013</v>
      </c>
      <c r="K225" s="20" t="inlineStr">
        <is>
          <t>Ejecutado</t>
        </is>
      </c>
    </row>
    <row r="226">
      <c r="A226" s="20" t="n">
        <v>329030</v>
      </c>
      <c r="B226" s="20" t="inlineStr">
        <is>
          <t>3zZFx4xL53DPPCX6YmULI2</t>
        </is>
      </c>
      <c r="C226" s="20" t="inlineStr">
        <is>
          <t>BUILDINGELEMENTPROXY</t>
        </is>
      </c>
      <c r="D226" s="20" t="inlineStr">
        <is>
          <t>Tubo Metalico Ø50mm, Prueba UltraSonico:Tubo Metalico Ø50mm, Prueba UltraSonico L=30.425m:481870</t>
        </is>
      </c>
      <c r="E226" s="20" t="inlineStr">
        <is>
          <t>TB5</t>
        </is>
      </c>
      <c r="F226" s="20" t="inlineStr">
        <is>
          <t>Pilotes</t>
        </is>
      </c>
      <c r="G226" s="20" t="inlineStr">
        <is>
          <t>Margen Izquierda</t>
        </is>
      </c>
      <c r="H226" s="20" t="inlineStr">
        <is>
          <t>Pilote</t>
        </is>
      </c>
      <c r="I226" s="20" t="inlineStr">
        <is>
          <t>PIL-MI</t>
        </is>
      </c>
      <c r="J226" s="20" t="n">
        <v>0.013</v>
      </c>
      <c r="K226" s="20" t="inlineStr">
        <is>
          <t>Ejecutado</t>
        </is>
      </c>
    </row>
    <row r="227">
      <c r="A227" s="20" t="n">
        <v>329062</v>
      </c>
      <c r="B227" s="20" t="inlineStr">
        <is>
          <t>3zZFx4xL53DPPCX6YmULIf</t>
        </is>
      </c>
      <c r="C227" s="20" t="inlineStr">
        <is>
          <t>SLAB</t>
        </is>
      </c>
      <c r="D227" s="20" t="inlineStr">
        <is>
          <t>Estribos_Pilote:Pilote_D1500_H30000_fc280:481893</t>
        </is>
      </c>
      <c r="E227" s="20" t="inlineStr">
        <is>
          <t>EI-P16</t>
        </is>
      </c>
      <c r="F227" s="20" t="inlineStr">
        <is>
          <t>Pilotes</t>
        </is>
      </c>
      <c r="G227" s="20" t="inlineStr">
        <is>
          <t>Margen Izquierda</t>
        </is>
      </c>
      <c r="H227" s="20" t="inlineStr">
        <is>
          <t>Pilote</t>
        </is>
      </c>
      <c r="I227" s="20" t="inlineStr">
        <is>
          <t>PIL-MI</t>
        </is>
      </c>
      <c r="J227" s="20" t="n">
        <v>53.014</v>
      </c>
      <c r="K227" s="20" t="inlineStr">
        <is>
          <t>Ejecutado</t>
        </is>
      </c>
    </row>
    <row r="228">
      <c r="A228" s="20" t="n">
        <v>353458</v>
      </c>
      <c r="B228" s="20" t="inlineStr">
        <is>
          <t>3zZFx4xL53DPPCX6YmULMg</t>
        </is>
      </c>
      <c r="C228" s="20" t="inlineStr">
        <is>
          <t>BUILDINGELEMENTPROXY</t>
        </is>
      </c>
      <c r="D228" s="20" t="inlineStr">
        <is>
          <t>Tubo Metalico Ø50mm, Prueba UltraSonico:Tubo Metalico Ø50mm, Prueba UltraSonico L=30.425m:482150</t>
        </is>
      </c>
      <c r="E228" s="20" t="inlineStr">
        <is>
          <t>TB5</t>
        </is>
      </c>
      <c r="F228" s="20" t="inlineStr">
        <is>
          <t>Pilotes</t>
        </is>
      </c>
      <c r="G228" s="20" t="inlineStr">
        <is>
          <t>Margen Izquierda</t>
        </is>
      </c>
      <c r="H228" s="20" t="inlineStr">
        <is>
          <t>Pilote</t>
        </is>
      </c>
      <c r="I228" s="20" t="inlineStr">
        <is>
          <t>PIL-MI</t>
        </is>
      </c>
      <c r="J228" s="20" t="n">
        <v>0.013</v>
      </c>
      <c r="K228" s="20" t="inlineStr">
        <is>
          <t>Ejecutado</t>
        </is>
      </c>
    </row>
    <row r="229">
      <c r="A229" s="20" t="n">
        <v>353486</v>
      </c>
      <c r="B229" s="20" t="inlineStr">
        <is>
          <t>3zZFx4xL53DPPCX6YmULMh</t>
        </is>
      </c>
      <c r="C229" s="20" t="inlineStr">
        <is>
          <t>BUILDINGELEMENTPROXY</t>
        </is>
      </c>
      <c r="D229" s="20" t="inlineStr">
        <is>
          <t>Tubo Metalico Ø50mm, Prueba UltraSonico:Tubo Metalico Ø50mm, Prueba UltraSonico L=30.425m:482151</t>
        </is>
      </c>
      <c r="E229" s="20" t="inlineStr">
        <is>
          <t>TB5</t>
        </is>
      </c>
      <c r="F229" s="20" t="inlineStr">
        <is>
          <t>Pilotes</t>
        </is>
      </c>
      <c r="G229" s="20" t="inlineStr">
        <is>
          <t>Margen Izquierda</t>
        </is>
      </c>
      <c r="H229" s="20" t="inlineStr">
        <is>
          <t>Pilote</t>
        </is>
      </c>
      <c r="I229" s="20" t="inlineStr">
        <is>
          <t>PIL-MI</t>
        </is>
      </c>
      <c r="J229" s="20" t="n">
        <v>0.013</v>
      </c>
      <c r="K229" s="20" t="inlineStr">
        <is>
          <t>Ejecutado</t>
        </is>
      </c>
    </row>
    <row r="230">
      <c r="A230" s="20" t="n">
        <v>353514</v>
      </c>
      <c r="B230" s="20" t="inlineStr">
        <is>
          <t>3zZFx4xL53DPPCX6YmULMa</t>
        </is>
      </c>
      <c r="C230" s="20" t="inlineStr">
        <is>
          <t>BUILDINGELEMENTPROXY</t>
        </is>
      </c>
      <c r="D230" s="20" t="inlineStr">
        <is>
          <t>Tubo Metalico Ø50mm, Prueba UltraSonico:Tubo Metalico Ø50mm, Prueba UltraSonico L=30.425m:482152</t>
        </is>
      </c>
      <c r="E230" s="20" t="inlineStr">
        <is>
          <t>TB5</t>
        </is>
      </c>
      <c r="F230" s="20" t="inlineStr">
        <is>
          <t>Pilotes</t>
        </is>
      </c>
      <c r="G230" s="20" t="inlineStr">
        <is>
          <t>Margen Izquierda</t>
        </is>
      </c>
      <c r="H230" s="20" t="inlineStr">
        <is>
          <t>Pilote</t>
        </is>
      </c>
      <c r="I230" s="20" t="inlineStr">
        <is>
          <t>PIL-MI</t>
        </is>
      </c>
      <c r="J230" s="20" t="n">
        <v>0.013</v>
      </c>
      <c r="K230" s="20" t="inlineStr">
        <is>
          <t>Ejecutado</t>
        </is>
      </c>
    </row>
    <row r="231">
      <c r="A231" s="20" t="n">
        <v>353542</v>
      </c>
      <c r="B231" s="20" t="inlineStr">
        <is>
          <t>3zZFx4xL53DPPCX6YmULMb</t>
        </is>
      </c>
      <c r="C231" s="20" t="inlineStr">
        <is>
          <t>BUILDINGELEMENTPROXY</t>
        </is>
      </c>
      <c r="D231" s="20" t="inlineStr">
        <is>
          <t>Tubo Metalico Ø50mm, Prueba UltraSonico:Tubo Metalico Ø50mm, Prueba UltraSonico L=30.425m:482153</t>
        </is>
      </c>
      <c r="E231" s="20" t="inlineStr">
        <is>
          <t>TB5</t>
        </is>
      </c>
      <c r="F231" s="20" t="inlineStr">
        <is>
          <t>Pilotes</t>
        </is>
      </c>
      <c r="G231" s="20" t="inlineStr">
        <is>
          <t>Margen Izquierda</t>
        </is>
      </c>
      <c r="H231" s="20" t="inlineStr">
        <is>
          <t>Pilote</t>
        </is>
      </c>
      <c r="I231" s="20" t="inlineStr">
        <is>
          <t>PIL-MI</t>
        </is>
      </c>
      <c r="J231" s="20" t="n">
        <v>0.013</v>
      </c>
      <c r="K231" s="20" t="inlineStr">
        <is>
          <t>Ejecutado</t>
        </is>
      </c>
    </row>
    <row r="232">
      <c r="A232" s="20" t="n">
        <v>353574</v>
      </c>
      <c r="B232" s="20" t="inlineStr">
        <is>
          <t>3zZFx4xL53DPPCX6YmULMv</t>
        </is>
      </c>
      <c r="C232" s="20" t="inlineStr">
        <is>
          <t>SLAB</t>
        </is>
      </c>
      <c r="D232" s="20" t="inlineStr">
        <is>
          <t>Estribos_Pilote:Pilote_D1500_H30000_fc280:482165</t>
        </is>
      </c>
      <c r="E232" s="20" t="inlineStr">
        <is>
          <t>EI-P11</t>
        </is>
      </c>
      <c r="F232" s="20" t="inlineStr">
        <is>
          <t>Pilotes</t>
        </is>
      </c>
      <c r="G232" s="20" t="inlineStr">
        <is>
          <t>Margen Izquierda</t>
        </is>
      </c>
      <c r="H232" s="20" t="inlineStr">
        <is>
          <t>Pilote</t>
        </is>
      </c>
      <c r="I232" s="20" t="inlineStr">
        <is>
          <t>PIL-MI</t>
        </is>
      </c>
      <c r="J232" s="20" t="n">
        <v>53.014</v>
      </c>
      <c r="K232" s="20" t="inlineStr">
        <is>
          <t>Ejecutado</t>
        </is>
      </c>
    </row>
    <row r="233">
      <c r="A233" s="20" t="n">
        <v>377970</v>
      </c>
      <c r="B233" s="20" t="inlineStr">
        <is>
          <t>3zZFx4xL53DPPCX6YmULAw</t>
        </is>
      </c>
      <c r="C233" s="20" t="inlineStr">
        <is>
          <t>BUILDINGELEMENTPROXY</t>
        </is>
      </c>
      <c r="D233" s="20" t="inlineStr">
        <is>
          <t>Tubo Metalico Ø50mm, Prueba UltraSonico:Tubo Metalico Ø50mm, Prueba UltraSonico L=30.425m:482422</t>
        </is>
      </c>
      <c r="E233" s="20" t="inlineStr">
        <is>
          <t>TB5</t>
        </is>
      </c>
      <c r="F233" s="20" t="inlineStr">
        <is>
          <t>Pilotes</t>
        </is>
      </c>
      <c r="G233" s="20" t="inlineStr">
        <is>
          <t>Margen Izquierda</t>
        </is>
      </c>
      <c r="H233" s="20" t="inlineStr">
        <is>
          <t>Pilote</t>
        </is>
      </c>
      <c r="I233" s="20" t="inlineStr">
        <is>
          <t>PIL-MI</t>
        </is>
      </c>
      <c r="J233" s="20" t="n">
        <v>0.013</v>
      </c>
      <c r="K233" s="20" t="inlineStr">
        <is>
          <t>Ejecutado</t>
        </is>
      </c>
    </row>
    <row r="234">
      <c r="A234" s="20" t="n">
        <v>377998</v>
      </c>
      <c r="B234" s="20" t="inlineStr">
        <is>
          <t>3zZFx4xL53DPPCX6YmULAx</t>
        </is>
      </c>
      <c r="C234" s="20" t="inlineStr">
        <is>
          <t>BUILDINGELEMENTPROXY</t>
        </is>
      </c>
      <c r="D234" s="20" t="inlineStr">
        <is>
          <t>Tubo Metalico Ø50mm, Prueba UltraSonico:Tubo Metalico Ø50mm, Prueba UltraSonico L=30.425m:482423</t>
        </is>
      </c>
      <c r="E234" s="20" t="inlineStr">
        <is>
          <t>TB5</t>
        </is>
      </c>
      <c r="F234" s="20" t="inlineStr">
        <is>
          <t>Pilotes</t>
        </is>
      </c>
      <c r="G234" s="20" t="inlineStr">
        <is>
          <t>Margen Izquierda</t>
        </is>
      </c>
      <c r="H234" s="20" t="inlineStr">
        <is>
          <t>Pilote</t>
        </is>
      </c>
      <c r="I234" s="20" t="inlineStr">
        <is>
          <t>PIL-MI</t>
        </is>
      </c>
      <c r="J234" s="20" t="n">
        <v>0.013</v>
      </c>
      <c r="K234" s="20" t="inlineStr">
        <is>
          <t>Ejecutado</t>
        </is>
      </c>
    </row>
    <row r="235">
      <c r="A235" s="20" t="n">
        <v>378026</v>
      </c>
      <c r="B235" s="20" t="inlineStr">
        <is>
          <t>3zZFx4xL53DPPCX6YmULAq</t>
        </is>
      </c>
      <c r="C235" s="20" t="inlineStr">
        <is>
          <t>BUILDINGELEMENTPROXY</t>
        </is>
      </c>
      <c r="D235" s="20" t="inlineStr">
        <is>
          <t>Tubo Metalico Ø50mm, Prueba UltraSonico:Tubo Metalico Ø50mm, Prueba UltraSonico L=30.425m:482424</t>
        </is>
      </c>
      <c r="E235" s="20" t="inlineStr">
        <is>
          <t>TB5</t>
        </is>
      </c>
      <c r="F235" s="20" t="inlineStr">
        <is>
          <t>Pilotes</t>
        </is>
      </c>
      <c r="G235" s="20" t="inlineStr">
        <is>
          <t>Margen Izquierda</t>
        </is>
      </c>
      <c r="H235" s="20" t="inlineStr">
        <is>
          <t>Pilote</t>
        </is>
      </c>
      <c r="I235" s="20" t="inlineStr">
        <is>
          <t>PIL-MI</t>
        </is>
      </c>
      <c r="J235" s="20" t="n">
        <v>0.013</v>
      </c>
      <c r="K235" s="20" t="inlineStr">
        <is>
          <t>Ejecutado</t>
        </is>
      </c>
    </row>
    <row r="236">
      <c r="A236" s="20" t="n">
        <v>378054</v>
      </c>
      <c r="B236" s="20" t="inlineStr">
        <is>
          <t>3zZFx4xL53DPPCX6YmULAr</t>
        </is>
      </c>
      <c r="C236" s="20" t="inlineStr">
        <is>
          <t>BUILDINGELEMENTPROXY</t>
        </is>
      </c>
      <c r="D236" s="20" t="inlineStr">
        <is>
          <t>Tubo Metalico Ø50mm, Prueba UltraSonico:Tubo Metalico Ø50mm, Prueba UltraSonico L=30.425m:482425</t>
        </is>
      </c>
      <c r="E236" s="20" t="inlineStr">
        <is>
          <t>TB5</t>
        </is>
      </c>
      <c r="F236" s="20" t="inlineStr">
        <is>
          <t>Pilotes</t>
        </is>
      </c>
      <c r="G236" s="20" t="inlineStr">
        <is>
          <t>Margen Izquierda</t>
        </is>
      </c>
      <c r="H236" s="20" t="inlineStr">
        <is>
          <t>Pilote</t>
        </is>
      </c>
      <c r="I236" s="20" t="inlineStr">
        <is>
          <t>PIL-MI</t>
        </is>
      </c>
      <c r="J236" s="20" t="n">
        <v>0.013</v>
      </c>
      <c r="K236" s="20" t="inlineStr">
        <is>
          <t>Ejecutado</t>
        </is>
      </c>
    </row>
    <row r="237">
      <c r="A237" s="20" t="n">
        <v>468131</v>
      </c>
      <c r="B237" s="20" t="inlineStr">
        <is>
          <t>3zZFx4xL53DPPCX6YmUM$R</t>
        </is>
      </c>
      <c r="C237" s="20" t="inlineStr">
        <is>
          <t>SLAB</t>
        </is>
      </c>
      <c r="D237" s="20" t="inlineStr">
        <is>
          <t>Estribos_Pilote:Pilote_D1500_H30000_fc280:483607</t>
        </is>
      </c>
      <c r="E237" s="20" t="inlineStr">
        <is>
          <t>EI-P5</t>
        </is>
      </c>
      <c r="F237" s="20" t="inlineStr">
        <is>
          <t>Pilotes</t>
        </is>
      </c>
      <c r="G237" s="20" t="inlineStr">
        <is>
          <t>Margen Izquierda</t>
        </is>
      </c>
      <c r="H237" s="20" t="inlineStr">
        <is>
          <t>Pilote</t>
        </is>
      </c>
      <c r="I237" s="20" t="inlineStr">
        <is>
          <t>PIL-MI</t>
        </is>
      </c>
      <c r="J237" s="20" t="n">
        <v>53.014</v>
      </c>
      <c r="K237" s="20" t="inlineStr">
        <is>
          <t>Ejecutado</t>
        </is>
      </c>
    </row>
    <row r="238">
      <c r="A238" s="20" t="n">
        <v>492527</v>
      </c>
      <c r="B238" s="20" t="inlineStr">
        <is>
          <t>3zZFx4xL53DPPCX6YmUMpK</t>
        </is>
      </c>
      <c r="C238" s="20" t="inlineStr">
        <is>
          <t>BUILDINGELEMENTPROXY</t>
        </is>
      </c>
      <c r="D238" s="20" t="inlineStr">
        <is>
          <t>Tubo Metalico Ø50mm, Prueba UltraSonico:Tubo Metalico Ø50mm, Prueba UltraSonico L=30.425m:483864</t>
        </is>
      </c>
      <c r="E238" s="20" t="inlineStr">
        <is>
          <t>TB5</t>
        </is>
      </c>
      <c r="F238" s="20" t="inlineStr">
        <is>
          <t>Pilotes</t>
        </is>
      </c>
      <c r="G238" s="20" t="inlineStr">
        <is>
          <t>Margen Izquierda</t>
        </is>
      </c>
      <c r="H238" s="20" t="inlineStr">
        <is>
          <t>Pilote</t>
        </is>
      </c>
      <c r="I238" s="20" t="inlineStr">
        <is>
          <t>PIL-MI</t>
        </is>
      </c>
      <c r="J238" s="20" t="n">
        <v>0.013</v>
      </c>
      <c r="K238" s="20" t="inlineStr">
        <is>
          <t>Ejecutado</t>
        </is>
      </c>
    </row>
    <row r="239">
      <c r="A239" s="20" t="n">
        <v>492555</v>
      </c>
      <c r="B239" s="20" t="inlineStr">
        <is>
          <t>3zZFx4xL53DPPCX6YmUMpL</t>
        </is>
      </c>
      <c r="C239" s="20" t="inlineStr">
        <is>
          <t>BUILDINGELEMENTPROXY</t>
        </is>
      </c>
      <c r="D239" s="20" t="inlineStr">
        <is>
          <t>Tubo Metalico Ø50mm, Prueba UltraSonico:Tubo Metalico Ø50mm, Prueba UltraSonico L=30.425m:483865</t>
        </is>
      </c>
      <c r="E239" s="20" t="inlineStr">
        <is>
          <t>TB5</t>
        </is>
      </c>
      <c r="F239" s="20" t="inlineStr">
        <is>
          <t>Pilotes</t>
        </is>
      </c>
      <c r="G239" s="20" t="inlineStr">
        <is>
          <t>Margen Izquierda</t>
        </is>
      </c>
      <c r="H239" s="20" t="inlineStr">
        <is>
          <t>Pilote</t>
        </is>
      </c>
      <c r="I239" s="20" t="inlineStr">
        <is>
          <t>PIL-MI</t>
        </is>
      </c>
      <c r="J239" s="20" t="n">
        <v>0.013</v>
      </c>
      <c r="K239" s="20" t="inlineStr">
        <is>
          <t>Ejecutado</t>
        </is>
      </c>
    </row>
    <row r="240">
      <c r="A240" s="20" t="n">
        <v>492583</v>
      </c>
      <c r="B240" s="20" t="inlineStr">
        <is>
          <t>3zZFx4xL53DPPCX6YmUMpM</t>
        </is>
      </c>
      <c r="C240" s="20" t="inlineStr">
        <is>
          <t>BUILDINGELEMENTPROXY</t>
        </is>
      </c>
      <c r="D240" s="20" t="inlineStr">
        <is>
          <t>Tubo Metalico Ø50mm, Prueba UltraSonico:Tubo Metalico Ø50mm, Prueba UltraSonico L=30.425m:483866</t>
        </is>
      </c>
      <c r="E240" s="20" t="inlineStr">
        <is>
          <t>TB5</t>
        </is>
      </c>
      <c r="F240" s="20" t="inlineStr">
        <is>
          <t>Pilotes</t>
        </is>
      </c>
      <c r="G240" s="20" t="inlineStr">
        <is>
          <t>Margen Izquierda</t>
        </is>
      </c>
      <c r="H240" s="20" t="inlineStr">
        <is>
          <t>Pilote</t>
        </is>
      </c>
      <c r="I240" s="20" t="inlineStr">
        <is>
          <t>PIL-MI</t>
        </is>
      </c>
      <c r="J240" s="20" t="n">
        <v>0.013</v>
      </c>
      <c r="K240" s="20" t="inlineStr">
        <is>
          <t>Ejecutado</t>
        </is>
      </c>
    </row>
    <row r="241">
      <c r="A241" s="20" t="n">
        <v>492611</v>
      </c>
      <c r="B241" s="20" t="inlineStr">
        <is>
          <t>3zZFx4xL53DPPCX6YmUMpN</t>
        </is>
      </c>
      <c r="C241" s="20" t="inlineStr">
        <is>
          <t>BUILDINGELEMENTPROXY</t>
        </is>
      </c>
      <c r="D241" s="20" t="inlineStr">
        <is>
          <t>Tubo Metalico Ø50mm, Prueba UltraSonico:Tubo Metalico Ø50mm, Prueba UltraSonico L=30.425m:483867</t>
        </is>
      </c>
      <c r="E241" s="20" t="inlineStr">
        <is>
          <t>TB5</t>
        </is>
      </c>
      <c r="F241" s="20" t="inlineStr">
        <is>
          <t>Pilotes</t>
        </is>
      </c>
      <c r="G241" s="20" t="inlineStr">
        <is>
          <t>Margen Izquierda</t>
        </is>
      </c>
      <c r="H241" s="20" t="inlineStr">
        <is>
          <t>Pilote</t>
        </is>
      </c>
      <c r="I241" s="20" t="inlineStr">
        <is>
          <t>PIL-MI</t>
        </is>
      </c>
      <c r="J241" s="20" t="n">
        <v>0.013</v>
      </c>
      <c r="K241" s="20" t="inlineStr">
        <is>
          <t>Ejecutado</t>
        </is>
      </c>
    </row>
    <row r="242">
      <c r="A242" s="20" t="n">
        <v>492643</v>
      </c>
      <c r="B242" s="20" t="inlineStr">
        <is>
          <t>3zZFx4xL53DPPCX6YmUMpH</t>
        </is>
      </c>
      <c r="C242" s="20" t="inlineStr">
        <is>
          <t>SLAB</t>
        </is>
      </c>
      <c r="D242" s="20" t="inlineStr">
        <is>
          <t>Estribos_Pilote:Pilote_D1500_H30000_fc280:483869</t>
        </is>
      </c>
      <c r="E242" s="20" t="inlineStr">
        <is>
          <t>EI-P13</t>
        </is>
      </c>
      <c r="F242" s="20" t="inlineStr">
        <is>
          <t>Pilotes</t>
        </is>
      </c>
      <c r="G242" s="20" t="inlineStr">
        <is>
          <t>Margen Izquierda</t>
        </is>
      </c>
      <c r="H242" s="20" t="inlineStr">
        <is>
          <t>Pilote</t>
        </is>
      </c>
      <c r="I242" s="20" t="inlineStr">
        <is>
          <t>PIL-MI</t>
        </is>
      </c>
      <c r="J242" s="20" t="n">
        <v>53.014</v>
      </c>
      <c r="K242" s="20" t="inlineStr">
        <is>
          <t>Ejecutado</t>
        </is>
      </c>
    </row>
    <row r="243">
      <c r="A243" s="20" t="n">
        <v>517039</v>
      </c>
      <c r="B243" s="20" t="inlineStr">
        <is>
          <t>3zZFx4xL53DPPCX6YmUMtI</t>
        </is>
      </c>
      <c r="C243" s="20" t="inlineStr">
        <is>
          <t>BUILDINGELEMENTPROXY</t>
        </is>
      </c>
      <c r="D243" s="20" t="inlineStr">
        <is>
          <t>Tubo Metalico Ø50mm, Prueba UltraSonico:Tubo Metalico Ø50mm, Prueba UltraSonico L=30.425m:484126</t>
        </is>
      </c>
      <c r="E243" s="20" t="inlineStr">
        <is>
          <t>TB5</t>
        </is>
      </c>
      <c r="F243" s="20" t="inlineStr">
        <is>
          <t>Pilotes</t>
        </is>
      </c>
      <c r="G243" s="20" t="inlineStr">
        <is>
          <t>Margen Izquierda</t>
        </is>
      </c>
      <c r="H243" s="20" t="inlineStr">
        <is>
          <t>Pilote</t>
        </is>
      </c>
      <c r="I243" s="20" t="inlineStr">
        <is>
          <t>PIL-MI</t>
        </is>
      </c>
      <c r="J243" s="20" t="n">
        <v>0.013</v>
      </c>
      <c r="K243" s="20" t="inlineStr">
        <is>
          <t>Ejecutado</t>
        </is>
      </c>
    </row>
    <row r="244">
      <c r="A244" s="20" t="n">
        <v>517067</v>
      </c>
      <c r="B244" s="20" t="inlineStr">
        <is>
          <t>3zZFx4xL53DPPCX6YmUMtJ</t>
        </is>
      </c>
      <c r="C244" s="20" t="inlineStr">
        <is>
          <t>BUILDINGELEMENTPROXY</t>
        </is>
      </c>
      <c r="D244" s="20" t="inlineStr">
        <is>
          <t>Tubo Metalico Ø50mm, Prueba UltraSonico:Tubo Metalico Ø50mm, Prueba UltraSonico L=30.425m:484127</t>
        </is>
      </c>
      <c r="E244" s="20" t="inlineStr">
        <is>
          <t>TB5</t>
        </is>
      </c>
      <c r="F244" s="20" t="inlineStr">
        <is>
          <t>Pilotes</t>
        </is>
      </c>
      <c r="G244" s="20" t="inlineStr">
        <is>
          <t>Margen Izquierda</t>
        </is>
      </c>
      <c r="H244" s="20" t="inlineStr">
        <is>
          <t>Pilote</t>
        </is>
      </c>
      <c r="I244" s="20" t="inlineStr">
        <is>
          <t>PIL-MI</t>
        </is>
      </c>
      <c r="J244" s="20" t="n">
        <v>0.013</v>
      </c>
      <c r="K244" s="20" t="inlineStr">
        <is>
          <t>Ejecutado</t>
        </is>
      </c>
    </row>
    <row r="245">
      <c r="A245" s="20" t="n">
        <v>517095</v>
      </c>
      <c r="B245" s="20" t="inlineStr">
        <is>
          <t>3zZFx4xL53DPPCX6YmUMti</t>
        </is>
      </c>
      <c r="C245" s="20" t="inlineStr">
        <is>
          <t>BUILDINGELEMENTPROXY</t>
        </is>
      </c>
      <c r="D245" s="20" t="inlineStr">
        <is>
          <t>Tubo Metalico Ø50mm, Prueba UltraSonico:Tubo Metalico Ø50mm, Prueba UltraSonico L=30.425m:484128</t>
        </is>
      </c>
      <c r="E245" s="20" t="inlineStr">
        <is>
          <t>TB5</t>
        </is>
      </c>
      <c r="F245" s="20" t="inlineStr">
        <is>
          <t>Pilotes</t>
        </is>
      </c>
      <c r="G245" s="20" t="inlineStr">
        <is>
          <t>Margen Izquierda</t>
        </is>
      </c>
      <c r="H245" s="20" t="inlineStr">
        <is>
          <t>Pilote</t>
        </is>
      </c>
      <c r="I245" s="20" t="inlineStr">
        <is>
          <t>PIL-MI</t>
        </is>
      </c>
      <c r="J245" s="20" t="n">
        <v>0.013</v>
      </c>
      <c r="K245" s="20" t="inlineStr">
        <is>
          <t>Ejecutado</t>
        </is>
      </c>
    </row>
    <row r="246">
      <c r="A246" s="20" t="n">
        <v>517123</v>
      </c>
      <c r="B246" s="20" t="inlineStr">
        <is>
          <t>3zZFx4xL53DPPCX6YmUMtj</t>
        </is>
      </c>
      <c r="C246" s="20" t="inlineStr">
        <is>
          <t>BUILDINGELEMENTPROXY</t>
        </is>
      </c>
      <c r="D246" s="20" t="inlineStr">
        <is>
          <t>Tubo Metalico Ø50mm, Prueba UltraSonico:Tubo Metalico Ø50mm, Prueba UltraSonico L=30.425m:484129</t>
        </is>
      </c>
      <c r="E246" s="20" t="inlineStr">
        <is>
          <t>TB5</t>
        </is>
      </c>
      <c r="F246" s="20" t="inlineStr">
        <is>
          <t>Pilotes</t>
        </is>
      </c>
      <c r="G246" s="20" t="inlineStr">
        <is>
          <t>Margen Izquierda</t>
        </is>
      </c>
      <c r="H246" s="20" t="inlineStr">
        <is>
          <t>Pilote</t>
        </is>
      </c>
      <c r="I246" s="20" t="inlineStr">
        <is>
          <t>PIL-MI</t>
        </is>
      </c>
      <c r="J246" s="20" t="n">
        <v>0.013</v>
      </c>
      <c r="K246" s="20" t="inlineStr">
        <is>
          <t>Ejecutado</t>
        </is>
      </c>
    </row>
    <row r="247">
      <c r="A247" s="20" t="n">
        <v>517155</v>
      </c>
      <c r="B247" s="20" t="inlineStr">
        <is>
          <t>3zZFx4xL53DPPCX6YmUMtl</t>
        </is>
      </c>
      <c r="C247" s="20" t="inlineStr">
        <is>
          <t>SLAB</t>
        </is>
      </c>
      <c r="D247" s="20" t="inlineStr">
        <is>
          <t>Estribos_Pilote:Pilote_D1500_H30000_fc280:484131</t>
        </is>
      </c>
      <c r="E247" s="20" t="inlineStr">
        <is>
          <t>EI-P8</t>
        </is>
      </c>
      <c r="F247" s="20" t="inlineStr">
        <is>
          <t>Pilotes</t>
        </is>
      </c>
      <c r="G247" s="20" t="inlineStr">
        <is>
          <t>Margen Izquierda</t>
        </is>
      </c>
      <c r="H247" s="20" t="inlineStr">
        <is>
          <t>Pilote</t>
        </is>
      </c>
      <c r="I247" s="20" t="inlineStr">
        <is>
          <t>PIL-MI</t>
        </is>
      </c>
      <c r="J247" s="20" t="n">
        <v>53.014</v>
      </c>
      <c r="K247" s="20" t="inlineStr">
        <is>
          <t>Ejecutado</t>
        </is>
      </c>
    </row>
    <row r="248">
      <c r="A248" s="20" t="n">
        <v>541551</v>
      </c>
      <c r="B248" s="20" t="inlineStr">
        <is>
          <t>3zZFx4xL53DPPCX6YmUMhe</t>
        </is>
      </c>
      <c r="C248" s="20" t="inlineStr">
        <is>
          <t>BUILDINGELEMENTPROXY</t>
        </is>
      </c>
      <c r="D248" s="20" t="inlineStr">
        <is>
          <t>Tubo Metalico Ø50mm, Prueba UltraSonico:Tubo Metalico Ø50mm, Prueba UltraSonico L=30.425m:484388</t>
        </is>
      </c>
      <c r="E248" s="20" t="inlineStr">
        <is>
          <t>TB5</t>
        </is>
      </c>
      <c r="F248" s="20" t="inlineStr">
        <is>
          <t>Pilotes</t>
        </is>
      </c>
      <c r="G248" s="20" t="inlineStr">
        <is>
          <t>Margen Izquierda</t>
        </is>
      </c>
      <c r="H248" s="20" t="inlineStr">
        <is>
          <t>Pilote</t>
        </is>
      </c>
      <c r="I248" s="20" t="inlineStr">
        <is>
          <t>PIL-MI</t>
        </is>
      </c>
      <c r="J248" s="20" t="n">
        <v>0.013</v>
      </c>
      <c r="K248" s="20" t="inlineStr">
        <is>
          <t>Ejecutado</t>
        </is>
      </c>
    </row>
    <row r="249">
      <c r="A249" s="20" t="n">
        <v>541579</v>
      </c>
      <c r="B249" s="20" t="inlineStr">
        <is>
          <t>3zZFx4xL53DPPCX6YmUMhf</t>
        </is>
      </c>
      <c r="C249" s="20" t="inlineStr">
        <is>
          <t>BUILDINGELEMENTPROXY</t>
        </is>
      </c>
      <c r="D249" s="20" t="inlineStr">
        <is>
          <t>Tubo Metalico Ø50mm, Prueba UltraSonico:Tubo Metalico Ø50mm, Prueba UltraSonico L=30.425m:484389</t>
        </is>
      </c>
      <c r="E249" s="20" t="inlineStr">
        <is>
          <t>TB5</t>
        </is>
      </c>
      <c r="F249" s="20" t="inlineStr">
        <is>
          <t>Pilotes</t>
        </is>
      </c>
      <c r="G249" s="20" t="inlineStr">
        <is>
          <t>Margen Izquierda</t>
        </is>
      </c>
      <c r="H249" s="20" t="inlineStr">
        <is>
          <t>Pilote</t>
        </is>
      </c>
      <c r="I249" s="20" t="inlineStr">
        <is>
          <t>PIL-MI</t>
        </is>
      </c>
      <c r="J249" s="20" t="n">
        <v>0.013</v>
      </c>
      <c r="K249" s="20" t="inlineStr">
        <is>
          <t>Ejecutado</t>
        </is>
      </c>
    </row>
    <row r="250">
      <c r="A250" s="20" t="n">
        <v>541607</v>
      </c>
      <c r="B250" s="20" t="inlineStr">
        <is>
          <t>3zZFx4xL53DPPCX6YmUMhg</t>
        </is>
      </c>
      <c r="C250" s="20" t="inlineStr">
        <is>
          <t>BUILDINGELEMENTPROXY</t>
        </is>
      </c>
      <c r="D250" s="20" t="inlineStr">
        <is>
          <t>Tubo Metalico Ø50mm, Prueba UltraSonico:Tubo Metalico Ø50mm, Prueba UltraSonico L=30.425m:484390</t>
        </is>
      </c>
      <c r="E250" s="20" t="inlineStr">
        <is>
          <t>TB5</t>
        </is>
      </c>
      <c r="F250" s="20" t="inlineStr">
        <is>
          <t>Pilotes</t>
        </is>
      </c>
      <c r="G250" s="20" t="inlineStr">
        <is>
          <t>Margen Izquierda</t>
        </is>
      </c>
      <c r="H250" s="20" t="inlineStr">
        <is>
          <t>Pilote</t>
        </is>
      </c>
      <c r="I250" s="20" t="inlineStr">
        <is>
          <t>PIL-MI</t>
        </is>
      </c>
      <c r="J250" s="20" t="n">
        <v>0.013</v>
      </c>
      <c r="K250" s="20" t="inlineStr">
        <is>
          <t>Ejecutado</t>
        </is>
      </c>
    </row>
    <row r="251">
      <c r="A251" s="20" t="n">
        <v>541635</v>
      </c>
      <c r="B251" s="20" t="inlineStr">
        <is>
          <t>3zZFx4xL53DPPCX6YmUMhh</t>
        </is>
      </c>
      <c r="C251" s="20" t="inlineStr">
        <is>
          <t>BUILDINGELEMENTPROXY</t>
        </is>
      </c>
      <c r="D251" s="20" t="inlineStr">
        <is>
          <t>Tubo Metalico Ø50mm, Prueba UltraSonico:Tubo Metalico Ø50mm, Prueba UltraSonico L=30.425m:484391</t>
        </is>
      </c>
      <c r="E251" s="20" t="inlineStr">
        <is>
          <t>TB5</t>
        </is>
      </c>
      <c r="F251" s="20" t="inlineStr">
        <is>
          <t>Pilotes</t>
        </is>
      </c>
      <c r="G251" s="20" t="inlineStr">
        <is>
          <t>Margen Izquierda</t>
        </is>
      </c>
      <c r="H251" s="20" t="inlineStr">
        <is>
          <t>Pilote</t>
        </is>
      </c>
      <c r="I251" s="20" t="inlineStr">
        <is>
          <t>PIL-MI</t>
        </is>
      </c>
      <c r="J251" s="20" t="n">
        <v>0.013</v>
      </c>
      <c r="K251" s="20" t="inlineStr">
        <is>
          <t>Ejecutado</t>
        </is>
      </c>
    </row>
    <row r="252">
      <c r="A252" s="20" t="n">
        <v>631712</v>
      </c>
      <c r="B252" s="20" t="inlineStr">
        <is>
          <t>3zZFx4xL53DPPCX6YmUMQ7</t>
        </is>
      </c>
      <c r="C252" s="20" t="inlineStr">
        <is>
          <t>SLAB</t>
        </is>
      </c>
      <c r="D252" s="20" t="inlineStr">
        <is>
          <t>Estribos_Pilote:Pilote_D1500_H30000_fc280:485451</t>
        </is>
      </c>
      <c r="E252" s="20" t="inlineStr">
        <is>
          <t>EI-P2</t>
        </is>
      </c>
      <c r="F252" s="20" t="inlineStr">
        <is>
          <t>Pilotes</t>
        </is>
      </c>
      <c r="G252" s="20" t="inlineStr">
        <is>
          <t>Margen Izquierda</t>
        </is>
      </c>
      <c r="H252" s="20" t="inlineStr">
        <is>
          <t>Pilote</t>
        </is>
      </c>
      <c r="I252" s="20" t="inlineStr">
        <is>
          <t>PIL-MI</t>
        </is>
      </c>
      <c r="J252" s="20" t="n">
        <v>53.014</v>
      </c>
      <c r="K252" s="20" t="inlineStr">
        <is>
          <t>Ejecutado</t>
        </is>
      </c>
    </row>
    <row r="253">
      <c r="A253" s="20" t="n">
        <v>656108</v>
      </c>
      <c r="B253" s="20" t="inlineStr">
        <is>
          <t>3zZFx4xL53DPPCX6YmUMU0</t>
        </is>
      </c>
      <c r="C253" s="20" t="inlineStr">
        <is>
          <t>BUILDINGELEMENTPROXY</t>
        </is>
      </c>
      <c r="D253" s="20" t="inlineStr">
        <is>
          <t>Tubo Metalico Ø50mm, Prueba UltraSonico:Tubo Metalico Ø50mm, Prueba UltraSonico L=30.425m:485708</t>
        </is>
      </c>
      <c r="E253" s="20" t="inlineStr">
        <is>
          <t>TB5</t>
        </is>
      </c>
      <c r="F253" s="20" t="inlineStr">
        <is>
          <t>Pilotes</t>
        </is>
      </c>
      <c r="G253" s="20" t="inlineStr">
        <is>
          <t>Margen Izquierda</t>
        </is>
      </c>
      <c r="H253" s="20" t="inlineStr">
        <is>
          <t>Pilote</t>
        </is>
      </c>
      <c r="I253" s="20" t="inlineStr">
        <is>
          <t>PIL-MI</t>
        </is>
      </c>
      <c r="J253" s="20" t="n">
        <v>0.013</v>
      </c>
      <c r="K253" s="20" t="inlineStr">
        <is>
          <t>Ejecutado</t>
        </is>
      </c>
    </row>
    <row r="254">
      <c r="A254" s="20" t="n">
        <v>656136</v>
      </c>
      <c r="B254" s="20" t="inlineStr">
        <is>
          <t>3zZFx4xL53DPPCX6YmUMU1</t>
        </is>
      </c>
      <c r="C254" s="20" t="inlineStr">
        <is>
          <t>BUILDINGELEMENTPROXY</t>
        </is>
      </c>
      <c r="D254" s="20" t="inlineStr">
        <is>
          <t>Tubo Metalico Ø50mm, Prueba UltraSonico:Tubo Metalico Ø50mm, Prueba UltraSonico L=30.425m:485709</t>
        </is>
      </c>
      <c r="E254" s="20" t="inlineStr">
        <is>
          <t>TB5</t>
        </is>
      </c>
      <c r="F254" s="20" t="inlineStr">
        <is>
          <t>Pilotes</t>
        </is>
      </c>
      <c r="G254" s="20" t="inlineStr">
        <is>
          <t>Margen Izquierda</t>
        </is>
      </c>
      <c r="H254" s="20" t="inlineStr">
        <is>
          <t>Pilote</t>
        </is>
      </c>
      <c r="I254" s="20" t="inlineStr">
        <is>
          <t>PIL-MI</t>
        </is>
      </c>
      <c r="J254" s="20" t="n">
        <v>0.013</v>
      </c>
      <c r="K254" s="20" t="inlineStr">
        <is>
          <t>Ejecutado</t>
        </is>
      </c>
    </row>
    <row r="255">
      <c r="A255" s="20" t="n">
        <v>656164</v>
      </c>
      <c r="B255" s="20" t="inlineStr">
        <is>
          <t>3zZFx4xL53DPPCX6YmUMU2</t>
        </is>
      </c>
      <c r="C255" s="20" t="inlineStr">
        <is>
          <t>BUILDINGELEMENTPROXY</t>
        </is>
      </c>
      <c r="D255" s="20" t="inlineStr">
        <is>
          <t>Tubo Metalico Ø50mm, Prueba UltraSonico:Tubo Metalico Ø50mm, Prueba UltraSonico L=30.425m:485710</t>
        </is>
      </c>
      <c r="E255" s="20" t="inlineStr">
        <is>
          <t>TB5</t>
        </is>
      </c>
      <c r="F255" s="20" t="inlineStr">
        <is>
          <t>Pilotes</t>
        </is>
      </c>
      <c r="G255" s="20" t="inlineStr">
        <is>
          <t>Margen Izquierda</t>
        </is>
      </c>
      <c r="H255" s="20" t="inlineStr">
        <is>
          <t>Pilote</t>
        </is>
      </c>
      <c r="I255" s="20" t="inlineStr">
        <is>
          <t>PIL-MI</t>
        </is>
      </c>
      <c r="J255" s="20" t="n">
        <v>0.013</v>
      </c>
      <c r="K255" s="20" t="inlineStr">
        <is>
          <t>Ejecutado</t>
        </is>
      </c>
    </row>
    <row r="256">
      <c r="A256" s="20" t="n">
        <v>656192</v>
      </c>
      <c r="B256" s="20" t="inlineStr">
        <is>
          <t>3zZFx4xL53DPPCX6YmUMU3</t>
        </is>
      </c>
      <c r="C256" s="20" t="inlineStr">
        <is>
          <t>BUILDINGELEMENTPROXY</t>
        </is>
      </c>
      <c r="D256" s="20" t="inlineStr">
        <is>
          <t>Tubo Metalico Ø50mm, Prueba UltraSonico:Tubo Metalico Ø50mm, Prueba UltraSonico L=30.425m:485711</t>
        </is>
      </c>
      <c r="E256" s="20" t="inlineStr">
        <is>
          <t>TB5</t>
        </is>
      </c>
      <c r="F256" s="20" t="inlineStr">
        <is>
          <t>Pilotes</t>
        </is>
      </c>
      <c r="G256" s="20" t="inlineStr">
        <is>
          <t>Margen Izquierda</t>
        </is>
      </c>
      <c r="H256" s="20" t="inlineStr">
        <is>
          <t>Pilote</t>
        </is>
      </c>
      <c r="I256" s="20" t="inlineStr">
        <is>
          <t>PIL-MI</t>
        </is>
      </c>
      <c r="J256" s="20" t="n">
        <v>0.013</v>
      </c>
      <c r="K256" s="20" t="inlineStr">
        <is>
          <t>Ejecutado</t>
        </is>
      </c>
    </row>
    <row r="257">
      <c r="A257" s="20" t="n">
        <v>656224</v>
      </c>
      <c r="B257" s="20" t="inlineStr">
        <is>
          <t>3zZFx4xL53DPPCX6YmUMUT</t>
        </is>
      </c>
      <c r="C257" s="20" t="inlineStr">
        <is>
          <t>SLAB</t>
        </is>
      </c>
      <c r="D257" s="20" t="inlineStr">
        <is>
          <t>Estribos_Pilote:Pilote_D1500_H30000_fc280:485713</t>
        </is>
      </c>
      <c r="E257" s="20" t="inlineStr">
        <is>
          <t>EI-P15</t>
        </is>
      </c>
      <c r="F257" s="20" t="inlineStr">
        <is>
          <t>Pilotes</t>
        </is>
      </c>
      <c r="G257" s="20" t="inlineStr">
        <is>
          <t>Margen Izquierda</t>
        </is>
      </c>
      <c r="H257" s="20" t="inlineStr">
        <is>
          <t>Pilote</t>
        </is>
      </c>
      <c r="I257" s="20" t="inlineStr">
        <is>
          <t>PIL-MI</t>
        </is>
      </c>
      <c r="J257" s="20" t="n">
        <v>53.014</v>
      </c>
      <c r="K257" s="20" t="inlineStr">
        <is>
          <t>Ejecutado</t>
        </is>
      </c>
    </row>
    <row r="258">
      <c r="A258" s="20" t="n">
        <v>680620</v>
      </c>
      <c r="B258" s="20" t="inlineStr">
        <is>
          <t>3zZFx4xL53DPPCX6YmUMIU</t>
        </is>
      </c>
      <c r="C258" s="20" t="inlineStr">
        <is>
          <t>BUILDINGELEMENTPROXY</t>
        </is>
      </c>
      <c r="D258" s="20" t="inlineStr">
        <is>
          <t>Tubo Metalico Ø50mm, Prueba UltraSonico:Tubo Metalico Ø50mm, Prueba UltraSonico L=30.425m:485970</t>
        </is>
      </c>
      <c r="E258" s="20" t="inlineStr">
        <is>
          <t>TB5</t>
        </is>
      </c>
      <c r="F258" s="20" t="inlineStr">
        <is>
          <t>Pilotes</t>
        </is>
      </c>
      <c r="G258" s="20" t="inlineStr">
        <is>
          <t>Margen Izquierda</t>
        </is>
      </c>
      <c r="H258" s="20" t="inlineStr">
        <is>
          <t>Pilote</t>
        </is>
      </c>
      <c r="I258" s="20" t="inlineStr">
        <is>
          <t>PIL-MI</t>
        </is>
      </c>
      <c r="J258" s="20" t="n">
        <v>0.013</v>
      </c>
      <c r="K258" s="20" t="inlineStr">
        <is>
          <t>Ejecutado</t>
        </is>
      </c>
    </row>
    <row r="259">
      <c r="A259" s="20" t="n">
        <v>680648</v>
      </c>
      <c r="B259" s="20" t="inlineStr">
        <is>
          <t>3zZFx4xL53DPPCX6YmUMIV</t>
        </is>
      </c>
      <c r="C259" s="20" t="inlineStr">
        <is>
          <t>BUILDINGELEMENTPROXY</t>
        </is>
      </c>
      <c r="D259" s="20" t="inlineStr">
        <is>
          <t>Tubo Metalico Ø50mm, Prueba UltraSonico:Tubo Metalico Ø50mm, Prueba UltraSonico L=30.425m:485971</t>
        </is>
      </c>
      <c r="E259" s="20" t="inlineStr">
        <is>
          <t>TB5</t>
        </is>
      </c>
      <c r="F259" s="20" t="inlineStr">
        <is>
          <t>Pilotes</t>
        </is>
      </c>
      <c r="G259" s="20" t="inlineStr">
        <is>
          <t>Margen Izquierda</t>
        </is>
      </c>
      <c r="H259" s="20" t="inlineStr">
        <is>
          <t>Pilote</t>
        </is>
      </c>
      <c r="I259" s="20" t="inlineStr">
        <is>
          <t>PIL-MI</t>
        </is>
      </c>
      <c r="J259" s="20" t="n">
        <v>0.013</v>
      </c>
      <c r="K259" s="20" t="inlineStr">
        <is>
          <t>Ejecutado</t>
        </is>
      </c>
    </row>
    <row r="260">
      <c r="A260" s="20" t="n">
        <v>680676</v>
      </c>
      <c r="B260" s="20" t="inlineStr">
        <is>
          <t>3zZFx4xL53DPPCX6YmUMIO</t>
        </is>
      </c>
      <c r="C260" s="20" t="inlineStr">
        <is>
          <t>BUILDINGELEMENTPROXY</t>
        </is>
      </c>
      <c r="D260" s="20" t="inlineStr">
        <is>
          <t>Tubo Metalico Ø50mm, Prueba UltraSonico:Tubo Metalico Ø50mm, Prueba UltraSonico L=30.425m:485972</t>
        </is>
      </c>
      <c r="E260" s="20" t="inlineStr">
        <is>
          <t>TB5</t>
        </is>
      </c>
      <c r="F260" s="20" t="inlineStr">
        <is>
          <t>Pilotes</t>
        </is>
      </c>
      <c r="G260" s="20" t="inlineStr">
        <is>
          <t>Margen Izquierda</t>
        </is>
      </c>
      <c r="H260" s="20" t="inlineStr">
        <is>
          <t>Pilote</t>
        </is>
      </c>
      <c r="I260" s="20" t="inlineStr">
        <is>
          <t>PIL-MI</t>
        </is>
      </c>
      <c r="J260" s="20" t="n">
        <v>0.013</v>
      </c>
      <c r="K260" s="20" t="inlineStr">
        <is>
          <t>Ejecutado</t>
        </is>
      </c>
    </row>
    <row r="261">
      <c r="A261" s="20" t="n">
        <v>680704</v>
      </c>
      <c r="B261" s="20" t="inlineStr">
        <is>
          <t>3zZFx4xL53DPPCX6YmUMIP</t>
        </is>
      </c>
      <c r="C261" s="20" t="inlineStr">
        <is>
          <t>BUILDINGELEMENTPROXY</t>
        </is>
      </c>
      <c r="D261" s="20" t="inlineStr">
        <is>
          <t>Tubo Metalico Ø50mm, Prueba UltraSonico:Tubo Metalico Ø50mm, Prueba UltraSonico L=30.425m:485973</t>
        </is>
      </c>
      <c r="E261" s="20" t="inlineStr">
        <is>
          <t>TB5</t>
        </is>
      </c>
      <c r="F261" s="20" t="inlineStr">
        <is>
          <t>Pilotes</t>
        </is>
      </c>
      <c r="G261" s="20" t="inlineStr">
        <is>
          <t>Margen Izquierda</t>
        </is>
      </c>
      <c r="H261" s="20" t="inlineStr">
        <is>
          <t>Pilote</t>
        </is>
      </c>
      <c r="I261" s="20" t="inlineStr">
        <is>
          <t>PIL-MI</t>
        </is>
      </c>
      <c r="J261" s="20" t="n">
        <v>0.013</v>
      </c>
      <c r="K261" s="20" t="inlineStr">
        <is>
          <t>Ejecutado</t>
        </is>
      </c>
    </row>
    <row r="262">
      <c r="A262" s="20" t="n">
        <v>680736</v>
      </c>
      <c r="B262" s="20" t="inlineStr">
        <is>
          <t>3zZFx4xL53DPPCX6YmUMIR</t>
        </is>
      </c>
      <c r="C262" s="20" t="inlineStr">
        <is>
          <t>SLAB</t>
        </is>
      </c>
      <c r="D262" s="20" t="inlineStr">
        <is>
          <t>Estribos_Pilote:Pilote_D1500_H30000_fc280:485975</t>
        </is>
      </c>
      <c r="E262" s="20" t="inlineStr">
        <is>
          <t>EI-P10</t>
        </is>
      </c>
      <c r="F262" s="20" t="inlineStr">
        <is>
          <t>Pilotes</t>
        </is>
      </c>
      <c r="G262" s="20" t="inlineStr">
        <is>
          <t>Margen Izquierda</t>
        </is>
      </c>
      <c r="H262" s="20" t="inlineStr">
        <is>
          <t>Pilote</t>
        </is>
      </c>
      <c r="I262" s="20" t="inlineStr">
        <is>
          <t>PIL-MI</t>
        </is>
      </c>
      <c r="J262" s="20" t="n">
        <v>53.014</v>
      </c>
      <c r="K262" s="20" t="inlineStr">
        <is>
          <t>Ejecutado</t>
        </is>
      </c>
    </row>
    <row r="263">
      <c r="A263" s="20" t="n">
        <v>705132</v>
      </c>
      <c r="B263" s="20" t="inlineStr">
        <is>
          <t>3zZFx4xL53DPPCX6YmUMMK</t>
        </is>
      </c>
      <c r="C263" s="20" t="inlineStr">
        <is>
          <t>BUILDINGELEMENTPROXY</t>
        </is>
      </c>
      <c r="D263" s="20" t="inlineStr">
        <is>
          <t>Tubo Metalico Ø50mm, Prueba UltraSonico:Tubo Metalico Ø50mm, Prueba UltraSonico L=30.425m:486232</t>
        </is>
      </c>
      <c r="E263" s="20" t="inlineStr">
        <is>
          <t>TB5</t>
        </is>
      </c>
      <c r="F263" s="20" t="inlineStr">
        <is>
          <t>Pilotes</t>
        </is>
      </c>
      <c r="G263" s="20" t="inlineStr">
        <is>
          <t>Margen Izquierda</t>
        </is>
      </c>
      <c r="H263" s="20" t="inlineStr">
        <is>
          <t>Pilote</t>
        </is>
      </c>
      <c r="I263" s="20" t="inlineStr">
        <is>
          <t>PIL-MI</t>
        </is>
      </c>
      <c r="J263" s="20" t="n">
        <v>0.013</v>
      </c>
      <c r="K263" s="20" t="inlineStr">
        <is>
          <t>Ejecutado</t>
        </is>
      </c>
    </row>
    <row r="264">
      <c r="A264" s="20" t="n">
        <v>705160</v>
      </c>
      <c r="B264" s="20" t="inlineStr">
        <is>
          <t>3zZFx4xL53DPPCX6YmUMML</t>
        </is>
      </c>
      <c r="C264" s="20" t="inlineStr">
        <is>
          <t>BUILDINGELEMENTPROXY</t>
        </is>
      </c>
      <c r="D264" s="20" t="inlineStr">
        <is>
          <t>Tubo Metalico Ø50mm, Prueba UltraSonico:Tubo Metalico Ø50mm, Prueba UltraSonico L=30.425m:486233</t>
        </is>
      </c>
      <c r="E264" s="20" t="inlineStr">
        <is>
          <t>TB5</t>
        </is>
      </c>
      <c r="F264" s="20" t="inlineStr">
        <is>
          <t>Pilotes</t>
        </is>
      </c>
      <c r="G264" s="20" t="inlineStr">
        <is>
          <t>Margen Izquierda</t>
        </is>
      </c>
      <c r="H264" s="20" t="inlineStr">
        <is>
          <t>Pilote</t>
        </is>
      </c>
      <c r="I264" s="20" t="inlineStr">
        <is>
          <t>PIL-MI</t>
        </is>
      </c>
      <c r="J264" s="20" t="n">
        <v>0.013</v>
      </c>
      <c r="K264" s="20" t="inlineStr">
        <is>
          <t>Ejecutado</t>
        </is>
      </c>
    </row>
    <row r="265">
      <c r="A265" s="20" t="n">
        <v>705188</v>
      </c>
      <c r="B265" s="20" t="inlineStr">
        <is>
          <t>3zZFx4xL53DPPCX6YmUMMM</t>
        </is>
      </c>
      <c r="C265" s="20" t="inlineStr">
        <is>
          <t>BUILDINGELEMENTPROXY</t>
        </is>
      </c>
      <c r="D265" s="20" t="inlineStr">
        <is>
          <t>Tubo Metalico Ø50mm, Prueba UltraSonico:Tubo Metalico Ø50mm, Prueba UltraSonico L=30.425m:486234</t>
        </is>
      </c>
      <c r="E265" s="20" t="inlineStr">
        <is>
          <t>TB5</t>
        </is>
      </c>
      <c r="F265" s="20" t="inlineStr">
        <is>
          <t>Pilotes</t>
        </is>
      </c>
      <c r="G265" s="20" t="inlineStr">
        <is>
          <t>Margen Izquierda</t>
        </is>
      </c>
      <c r="H265" s="20" t="inlineStr">
        <is>
          <t>Pilote</t>
        </is>
      </c>
      <c r="I265" s="20" t="inlineStr">
        <is>
          <t>PIL-MI</t>
        </is>
      </c>
      <c r="J265" s="20" t="n">
        <v>0.013</v>
      </c>
      <c r="K265" s="20" t="inlineStr">
        <is>
          <t>Ejecutado</t>
        </is>
      </c>
    </row>
    <row r="266">
      <c r="A266" s="20" t="n">
        <v>705216</v>
      </c>
      <c r="B266" s="20" t="inlineStr">
        <is>
          <t>3zZFx4xL53DPPCX6YmUMMN</t>
        </is>
      </c>
      <c r="C266" s="20" t="inlineStr">
        <is>
          <t>BUILDINGELEMENTPROXY</t>
        </is>
      </c>
      <c r="D266" s="20" t="inlineStr">
        <is>
          <t>Tubo Metalico Ø50mm, Prueba UltraSonico:Tubo Metalico Ø50mm, Prueba UltraSonico L=30.425m:486235</t>
        </is>
      </c>
      <c r="E266" s="20" t="inlineStr">
        <is>
          <t>TB5</t>
        </is>
      </c>
      <c r="F266" s="20" t="inlineStr">
        <is>
          <t>Pilotes</t>
        </is>
      </c>
      <c r="G266" s="20" t="inlineStr">
        <is>
          <t>Margen Izquierda</t>
        </is>
      </c>
      <c r="H266" s="20" t="inlineStr">
        <is>
          <t>Pilote</t>
        </is>
      </c>
      <c r="I266" s="20" t="inlineStr">
        <is>
          <t>PIL-MI</t>
        </is>
      </c>
      <c r="J266" s="20" t="n">
        <v>0.013</v>
      </c>
      <c r="K266" s="20" t="inlineStr">
        <is>
          <t>Ejecutado</t>
        </is>
      </c>
    </row>
    <row r="267">
      <c r="A267" s="20" t="n">
        <v>795293</v>
      </c>
      <c r="B267" s="20" t="inlineStr">
        <is>
          <t>3zZFx4xL53DPPCX6YmUM6p</t>
        </is>
      </c>
      <c r="C267" s="20" t="inlineStr">
        <is>
          <t>SLAB</t>
        </is>
      </c>
      <c r="D267" s="20" t="inlineStr">
        <is>
          <t>Estribos_Pilote:Pilote_D1500_H30000_fc280:487295</t>
        </is>
      </c>
      <c r="E267" s="20" t="inlineStr">
        <is>
          <t>EI-P4</t>
        </is>
      </c>
      <c r="F267" s="20" t="inlineStr">
        <is>
          <t>Pilotes</t>
        </is>
      </c>
      <c r="G267" s="20" t="inlineStr">
        <is>
          <t>Margen Izquierda</t>
        </is>
      </c>
      <c r="H267" s="20" t="inlineStr">
        <is>
          <t>Pilote</t>
        </is>
      </c>
      <c r="I267" s="20" t="inlineStr">
        <is>
          <t>PIL-MI</t>
        </is>
      </c>
      <c r="J267" s="20" t="n">
        <v>53.014</v>
      </c>
      <c r="K267" s="20" t="inlineStr">
        <is>
          <t>Ejecutado</t>
        </is>
      </c>
    </row>
    <row r="268">
      <c r="A268" s="20" t="n">
        <v>819689</v>
      </c>
      <c r="B268" s="20" t="inlineStr">
        <is>
          <t>3zZFx4xL53DPPCX6YmUNvC</t>
        </is>
      </c>
      <c r="C268" s="20" t="inlineStr">
        <is>
          <t>BUILDINGELEMENTPROXY</t>
        </is>
      </c>
      <c r="D268" s="20" t="inlineStr">
        <is>
          <t>Tubo Metalico Ø50mm, Prueba UltraSonico:Tubo Metalico Ø50mm, Prueba UltraSonico L=30.425m:487552</t>
        </is>
      </c>
      <c r="E268" s="20" t="inlineStr">
        <is>
          <t>TB5</t>
        </is>
      </c>
      <c r="F268" s="20" t="inlineStr">
        <is>
          <t>Pilotes</t>
        </is>
      </c>
      <c r="G268" s="20" t="inlineStr">
        <is>
          <t>Margen Izquierda</t>
        </is>
      </c>
      <c r="H268" s="20" t="inlineStr">
        <is>
          <t>Pilote</t>
        </is>
      </c>
      <c r="I268" s="20" t="inlineStr">
        <is>
          <t>PIL-MI</t>
        </is>
      </c>
      <c r="J268" s="20" t="n">
        <v>0.013</v>
      </c>
      <c r="K268" s="20" t="inlineStr">
        <is>
          <t>Ejecutado</t>
        </is>
      </c>
    </row>
    <row r="269">
      <c r="A269" s="20" t="n">
        <v>819717</v>
      </c>
      <c r="B269" s="20" t="inlineStr">
        <is>
          <t>3zZFx4xL53DPPCX6YmUNvD</t>
        </is>
      </c>
      <c r="C269" s="20" t="inlineStr">
        <is>
          <t>BUILDINGELEMENTPROXY</t>
        </is>
      </c>
      <c r="D269" s="20" t="inlineStr">
        <is>
          <t>Tubo Metalico Ø50mm, Prueba UltraSonico:Tubo Metalico Ø50mm, Prueba UltraSonico L=30.425m:487553</t>
        </is>
      </c>
      <c r="E269" s="20" t="inlineStr">
        <is>
          <t>TB5</t>
        </is>
      </c>
      <c r="F269" s="20" t="inlineStr">
        <is>
          <t>Pilotes</t>
        </is>
      </c>
      <c r="G269" s="20" t="inlineStr">
        <is>
          <t>Margen Izquierda</t>
        </is>
      </c>
      <c r="H269" s="20" t="inlineStr">
        <is>
          <t>Pilote</t>
        </is>
      </c>
      <c r="I269" s="20" t="inlineStr">
        <is>
          <t>PIL-MI</t>
        </is>
      </c>
      <c r="J269" s="20" t="n">
        <v>0.013</v>
      </c>
      <c r="K269" s="20" t="inlineStr">
        <is>
          <t>Ejecutado</t>
        </is>
      </c>
    </row>
    <row r="270">
      <c r="A270" s="20" t="n">
        <v>819745</v>
      </c>
      <c r="B270" s="20" t="inlineStr">
        <is>
          <t>3zZFx4xL53DPPCX6YmUNvE</t>
        </is>
      </c>
      <c r="C270" s="20" t="inlineStr">
        <is>
          <t>BUILDINGELEMENTPROXY</t>
        </is>
      </c>
      <c r="D270" s="20" t="inlineStr">
        <is>
          <t>Tubo Metalico Ø50mm, Prueba UltraSonico:Tubo Metalico Ø50mm, Prueba UltraSonico L=30.425m:487554</t>
        </is>
      </c>
      <c r="E270" s="20" t="inlineStr">
        <is>
          <t>TB5</t>
        </is>
      </c>
      <c r="F270" s="20" t="inlineStr">
        <is>
          <t>Pilotes</t>
        </is>
      </c>
      <c r="G270" s="20" t="inlineStr">
        <is>
          <t>Margen Izquierda</t>
        </is>
      </c>
      <c r="H270" s="20" t="inlineStr">
        <is>
          <t>Pilote</t>
        </is>
      </c>
      <c r="I270" s="20" t="inlineStr">
        <is>
          <t>PIL-MI</t>
        </is>
      </c>
      <c r="J270" s="20" t="n">
        <v>0.013</v>
      </c>
      <c r="K270" s="20" t="inlineStr">
        <is>
          <t>Ejecutado</t>
        </is>
      </c>
    </row>
    <row r="271">
      <c r="A271" s="20" t="n">
        <v>819773</v>
      </c>
      <c r="B271" s="20" t="inlineStr">
        <is>
          <t>3zZFx4xL53DPPCX6YmUNvF</t>
        </is>
      </c>
      <c r="C271" s="20" t="inlineStr">
        <is>
          <t>BUILDINGELEMENTPROXY</t>
        </is>
      </c>
      <c r="D271" s="20" t="inlineStr">
        <is>
          <t>Tubo Metalico Ø50mm, Prueba UltraSonico:Tubo Metalico Ø50mm, Prueba UltraSonico L=30.425m:487555</t>
        </is>
      </c>
      <c r="E271" s="20" t="inlineStr">
        <is>
          <t>TB5</t>
        </is>
      </c>
      <c r="F271" s="20" t="inlineStr">
        <is>
          <t>Pilotes</t>
        </is>
      </c>
      <c r="G271" s="20" t="inlineStr">
        <is>
          <t>Margen Izquierda</t>
        </is>
      </c>
      <c r="H271" s="20" t="inlineStr">
        <is>
          <t>Pilote</t>
        </is>
      </c>
      <c r="I271" s="20" t="inlineStr">
        <is>
          <t>PIL-MI</t>
        </is>
      </c>
      <c r="J271" s="20" t="n">
        <v>0.013</v>
      </c>
      <c r="K271" s="20" t="inlineStr">
        <is>
          <t>Ejecutado</t>
        </is>
      </c>
    </row>
    <row r="272">
      <c r="A272" s="20" t="n">
        <v>819805</v>
      </c>
      <c r="B272" s="20" t="inlineStr">
        <is>
          <t>3zZFx4xL53DPPCX6YmUNv9</t>
        </is>
      </c>
      <c r="C272" s="20" t="inlineStr">
        <is>
          <t>SLAB</t>
        </is>
      </c>
      <c r="D272" s="20" t="inlineStr">
        <is>
          <t>Estribos_Pilote:Pilote_D1500_H30000_fc280:487557</t>
        </is>
      </c>
      <c r="E272" s="20" t="inlineStr">
        <is>
          <t>EI-P12</t>
        </is>
      </c>
      <c r="F272" s="20" t="inlineStr">
        <is>
          <t>Pilotes</t>
        </is>
      </c>
      <c r="G272" s="20" t="inlineStr">
        <is>
          <t>Margen Izquierda</t>
        </is>
      </c>
      <c r="H272" s="20" t="inlineStr">
        <is>
          <t>Pilote</t>
        </is>
      </c>
      <c r="I272" s="20" t="inlineStr">
        <is>
          <t>PIL-MI</t>
        </is>
      </c>
      <c r="J272" s="20" t="n">
        <v>53.014</v>
      </c>
      <c r="K272" s="20" t="inlineStr">
        <is>
          <t>Ejecutado</t>
        </is>
      </c>
    </row>
    <row r="273">
      <c r="A273" s="20" t="n">
        <v>844201</v>
      </c>
      <c r="B273" s="20" t="inlineStr">
        <is>
          <t>3zZFx4xL53DPPCX6YmUNzA</t>
        </is>
      </c>
      <c r="C273" s="20" t="inlineStr">
        <is>
          <t>BUILDINGELEMENTPROXY</t>
        </is>
      </c>
      <c r="D273" s="20" t="inlineStr">
        <is>
          <t>Tubo Metalico Ø50mm, Prueba UltraSonico:Tubo Metalico Ø50mm, Prueba UltraSonico L=30.425m:487814</t>
        </is>
      </c>
      <c r="E273" s="20" t="inlineStr">
        <is>
          <t>TB5</t>
        </is>
      </c>
      <c r="F273" s="20" t="inlineStr">
        <is>
          <t>Pilotes</t>
        </is>
      </c>
      <c r="G273" s="20" t="inlineStr">
        <is>
          <t>Margen Izquierda</t>
        </is>
      </c>
      <c r="H273" s="20" t="inlineStr">
        <is>
          <t>Pilote</t>
        </is>
      </c>
      <c r="I273" s="20" t="inlineStr">
        <is>
          <t>PIL-MI</t>
        </is>
      </c>
      <c r="J273" s="20" t="n">
        <v>0.013</v>
      </c>
      <c r="K273" s="20" t="inlineStr">
        <is>
          <t>Ejecutado</t>
        </is>
      </c>
    </row>
    <row r="274">
      <c r="A274" s="20" t="n">
        <v>844229</v>
      </c>
      <c r="B274" s="20" t="inlineStr">
        <is>
          <t>3zZFx4xL53DPPCX6YmUNzB</t>
        </is>
      </c>
      <c r="C274" s="20" t="inlineStr">
        <is>
          <t>BUILDINGELEMENTPROXY</t>
        </is>
      </c>
      <c r="D274" s="20" t="inlineStr">
        <is>
          <t>Tubo Metalico Ø50mm, Prueba UltraSonico:Tubo Metalico Ø50mm, Prueba UltraSonico L=30.425m:487815</t>
        </is>
      </c>
      <c r="E274" s="20" t="inlineStr">
        <is>
          <t>TB5</t>
        </is>
      </c>
      <c r="F274" s="20" t="inlineStr">
        <is>
          <t>Pilotes</t>
        </is>
      </c>
      <c r="G274" s="20" t="inlineStr">
        <is>
          <t>Margen Izquierda</t>
        </is>
      </c>
      <c r="H274" s="20" t="inlineStr">
        <is>
          <t>Pilote</t>
        </is>
      </c>
      <c r="I274" s="20" t="inlineStr">
        <is>
          <t>PIL-MI</t>
        </is>
      </c>
      <c r="J274" s="20" t="n">
        <v>0.013</v>
      </c>
      <c r="K274" s="20" t="inlineStr">
        <is>
          <t>Ejecutado</t>
        </is>
      </c>
    </row>
    <row r="275">
      <c r="A275" s="20" t="n">
        <v>844257</v>
      </c>
      <c r="B275" s="20" t="inlineStr">
        <is>
          <t>3zZFx4xL53DPPCX6YmUNz4</t>
        </is>
      </c>
      <c r="C275" s="20" t="inlineStr">
        <is>
          <t>BUILDINGELEMENTPROXY</t>
        </is>
      </c>
      <c r="D275" s="20" t="inlineStr">
        <is>
          <t>Tubo Metalico Ø50mm, Prueba UltraSonico:Tubo Metalico Ø50mm, Prueba UltraSonico L=30.425m:487816</t>
        </is>
      </c>
      <c r="E275" s="20" t="inlineStr">
        <is>
          <t>TB5</t>
        </is>
      </c>
      <c r="F275" s="20" t="inlineStr">
        <is>
          <t>Pilotes</t>
        </is>
      </c>
      <c r="G275" s="20" t="inlineStr">
        <is>
          <t>Margen Izquierda</t>
        </is>
      </c>
      <c r="H275" s="20" t="inlineStr">
        <is>
          <t>Pilote</t>
        </is>
      </c>
      <c r="I275" s="20" t="inlineStr">
        <is>
          <t>PIL-MI</t>
        </is>
      </c>
      <c r="J275" s="20" t="n">
        <v>0.013</v>
      </c>
      <c r="K275" s="20" t="inlineStr">
        <is>
          <t>Ejecutado</t>
        </is>
      </c>
    </row>
    <row r="276">
      <c r="A276" s="20" t="n">
        <v>844285</v>
      </c>
      <c r="B276" s="20" t="inlineStr">
        <is>
          <t>3zZFx4xL53DPPCX6YmUNz5</t>
        </is>
      </c>
      <c r="C276" s="20" t="inlineStr">
        <is>
          <t>BUILDINGELEMENTPROXY</t>
        </is>
      </c>
      <c r="D276" s="20" t="inlineStr">
        <is>
          <t>Tubo Metalico Ø50mm, Prueba UltraSonico:Tubo Metalico Ø50mm, Prueba UltraSonico L=30.425m:487817</t>
        </is>
      </c>
      <c r="E276" s="20" t="inlineStr">
        <is>
          <t>TB5</t>
        </is>
      </c>
      <c r="F276" s="20" t="inlineStr">
        <is>
          <t>Pilotes</t>
        </is>
      </c>
      <c r="G276" s="20" t="inlineStr">
        <is>
          <t>Margen Izquierda</t>
        </is>
      </c>
      <c r="H276" s="20" t="inlineStr">
        <is>
          <t>Pilote</t>
        </is>
      </c>
      <c r="I276" s="20" t="inlineStr">
        <is>
          <t>PIL-MI</t>
        </is>
      </c>
      <c r="J276" s="20" t="n">
        <v>0.013</v>
      </c>
      <c r="K276" s="20" t="inlineStr">
        <is>
          <t>Ejecutado</t>
        </is>
      </c>
    </row>
    <row r="277">
      <c r="A277" s="20" t="n">
        <v>844317</v>
      </c>
      <c r="B277" s="20" t="inlineStr">
        <is>
          <t>3zZFx4xL53DPPCX6YmUNz7</t>
        </is>
      </c>
      <c r="C277" s="20" t="inlineStr">
        <is>
          <t>SLAB</t>
        </is>
      </c>
      <c r="D277" s="20" t="inlineStr">
        <is>
          <t>Estribos_Pilote:Pilote_D1500_H30000_fc280:487819</t>
        </is>
      </c>
      <c r="E277" s="20" t="inlineStr">
        <is>
          <t>EI-P7</t>
        </is>
      </c>
      <c r="F277" s="20" t="inlineStr">
        <is>
          <t>Pilotes</t>
        </is>
      </c>
      <c r="G277" s="20" t="inlineStr">
        <is>
          <t>Margen Izquierda</t>
        </is>
      </c>
      <c r="H277" s="20" t="inlineStr">
        <is>
          <t>Pilote</t>
        </is>
      </c>
      <c r="I277" s="20" t="inlineStr">
        <is>
          <t>PIL-MI</t>
        </is>
      </c>
      <c r="J277" s="20" t="n">
        <v>53.014</v>
      </c>
      <c r="K277" s="20" t="inlineStr">
        <is>
          <t>Ejecutado</t>
        </is>
      </c>
    </row>
    <row r="278">
      <c r="A278" s="20" t="n">
        <v>868713</v>
      </c>
      <c r="B278" s="20" t="inlineStr">
        <is>
          <t>3zZFx4xL53DPPCX6YmUNn0</t>
        </is>
      </c>
      <c r="C278" s="20" t="inlineStr">
        <is>
          <t>BUILDINGELEMENTPROXY</t>
        </is>
      </c>
      <c r="D278" s="20" t="inlineStr">
        <is>
          <t>Tubo Metalico Ø50mm, Prueba UltraSonico:Tubo Metalico Ø50mm, Prueba UltraSonico L=30.425m:488076</t>
        </is>
      </c>
      <c r="E278" s="20" t="inlineStr">
        <is>
          <t>TB5</t>
        </is>
      </c>
      <c r="F278" s="20" t="inlineStr">
        <is>
          <t>Pilotes</t>
        </is>
      </c>
      <c r="G278" s="20" t="inlineStr">
        <is>
          <t>Margen Izquierda</t>
        </is>
      </c>
      <c r="H278" s="20" t="inlineStr">
        <is>
          <t>Pilote</t>
        </is>
      </c>
      <c r="I278" s="20" t="inlineStr">
        <is>
          <t>PIL-MI</t>
        </is>
      </c>
      <c r="J278" s="20" t="n">
        <v>0.013</v>
      </c>
      <c r="K278" s="20" t="inlineStr">
        <is>
          <t>Ejecutado</t>
        </is>
      </c>
    </row>
    <row r="279">
      <c r="A279" s="20" t="n">
        <v>868741</v>
      </c>
      <c r="B279" s="20" t="inlineStr">
        <is>
          <t>3zZFx4xL53DPPCX6YmUNn1</t>
        </is>
      </c>
      <c r="C279" s="20" t="inlineStr">
        <is>
          <t>BUILDINGELEMENTPROXY</t>
        </is>
      </c>
      <c r="D279" s="20" t="inlineStr">
        <is>
          <t>Tubo Metalico Ø50mm, Prueba UltraSonico:Tubo Metalico Ø50mm, Prueba UltraSonico L=30.425m:488077</t>
        </is>
      </c>
      <c r="E279" s="20" t="inlineStr">
        <is>
          <t>TB5</t>
        </is>
      </c>
      <c r="F279" s="20" t="inlineStr">
        <is>
          <t>Pilotes</t>
        </is>
      </c>
      <c r="G279" s="20" t="inlineStr">
        <is>
          <t>Margen Izquierda</t>
        </is>
      </c>
      <c r="H279" s="20" t="inlineStr">
        <is>
          <t>Pilote</t>
        </is>
      </c>
      <c r="I279" s="20" t="inlineStr">
        <is>
          <t>PIL-MI</t>
        </is>
      </c>
      <c r="J279" s="20" t="n">
        <v>0.013</v>
      </c>
      <c r="K279" s="20" t="inlineStr">
        <is>
          <t>Ejecutado</t>
        </is>
      </c>
    </row>
    <row r="280">
      <c r="A280" s="20" t="n">
        <v>868769</v>
      </c>
      <c r="B280" s="20" t="inlineStr">
        <is>
          <t>3zZFx4xL53DPPCX6YmUNn2</t>
        </is>
      </c>
      <c r="C280" s="20" t="inlineStr">
        <is>
          <t>BUILDINGELEMENTPROXY</t>
        </is>
      </c>
      <c r="D280" s="20" t="inlineStr">
        <is>
          <t>Tubo Metalico Ø50mm, Prueba UltraSonico:Tubo Metalico Ø50mm, Prueba UltraSonico L=30.425m:488078</t>
        </is>
      </c>
      <c r="E280" s="20" t="inlineStr">
        <is>
          <t>TB5</t>
        </is>
      </c>
      <c r="F280" s="20" t="inlineStr">
        <is>
          <t>Pilotes</t>
        </is>
      </c>
      <c r="G280" s="20" t="inlineStr">
        <is>
          <t>Margen Izquierda</t>
        </is>
      </c>
      <c r="H280" s="20" t="inlineStr">
        <is>
          <t>Pilote</t>
        </is>
      </c>
      <c r="I280" s="20" t="inlineStr">
        <is>
          <t>PIL-MI</t>
        </is>
      </c>
      <c r="J280" s="20" t="n">
        <v>0.013</v>
      </c>
      <c r="K280" s="20" t="inlineStr">
        <is>
          <t>Ejecutado</t>
        </is>
      </c>
    </row>
    <row r="281">
      <c r="A281" s="20" t="n">
        <v>868797</v>
      </c>
      <c r="B281" s="20" t="inlineStr">
        <is>
          <t>3zZFx4xL53DPPCX6YmUNn3</t>
        </is>
      </c>
      <c r="C281" s="20" t="inlineStr">
        <is>
          <t>BUILDINGELEMENTPROXY</t>
        </is>
      </c>
      <c r="D281" s="20" t="inlineStr">
        <is>
          <t>Tubo Metalico Ø50mm, Prueba UltraSonico:Tubo Metalico Ø50mm, Prueba UltraSonico L=30.425m:488079</t>
        </is>
      </c>
      <c r="E281" s="20" t="inlineStr">
        <is>
          <t>TB5</t>
        </is>
      </c>
      <c r="F281" s="20" t="inlineStr">
        <is>
          <t>Pilotes</t>
        </is>
      </c>
      <c r="G281" s="20" t="inlineStr">
        <is>
          <t>Margen Izquierda</t>
        </is>
      </c>
      <c r="H281" s="20" t="inlineStr">
        <is>
          <t>Pilote</t>
        </is>
      </c>
      <c r="I281" s="20" t="inlineStr">
        <is>
          <t>PIL-MI</t>
        </is>
      </c>
      <c r="J281" s="20" t="n">
        <v>0.013</v>
      </c>
      <c r="K281" s="20" t="inlineStr">
        <is>
          <t>Ejecutado</t>
        </is>
      </c>
    </row>
    <row r="282">
      <c r="A282" s="20" t="n">
        <v>958874</v>
      </c>
      <c r="B282" s="20" t="inlineStr">
        <is>
          <t>3zZFx4xL53DPPCX6YmUNX$</t>
        </is>
      </c>
      <c r="C282" s="20" t="inlineStr">
        <is>
          <t>SLAB</t>
        </is>
      </c>
      <c r="D282" s="20" t="inlineStr">
        <is>
          <t>Estribos_Pilote:Pilote_D1500_H30000_fc280:489139</t>
        </is>
      </c>
      <c r="E282" s="20" t="inlineStr">
        <is>
          <t>EI-P1</t>
        </is>
      </c>
      <c r="F282" s="20" t="inlineStr">
        <is>
          <t>Pilotes</t>
        </is>
      </c>
      <c r="G282" s="20" t="inlineStr">
        <is>
          <t>Margen Izquierda</t>
        </is>
      </c>
      <c r="H282" s="20" t="inlineStr">
        <is>
          <t>Pilote</t>
        </is>
      </c>
      <c r="I282" s="20" t="inlineStr">
        <is>
          <t>PIL-MI</t>
        </is>
      </c>
      <c r="J282" s="20" t="n">
        <v>53.014</v>
      </c>
      <c r="K282" s="20" t="inlineStr">
        <is>
          <t>Ejecutado</t>
        </is>
      </c>
    </row>
    <row r="283">
      <c r="A283" s="20" t="n">
        <v>983270</v>
      </c>
      <c r="B283" s="20" t="inlineStr">
        <is>
          <t>3zZFx4xL53DPPCX6YmUNbu</t>
        </is>
      </c>
      <c r="C283" s="20" t="inlineStr">
        <is>
          <t>BUILDINGELEMENTPROXY</t>
        </is>
      </c>
      <c r="D283" s="20" t="inlineStr">
        <is>
          <t>Tubo Metalico Ø50mm, Prueba UltraSonico:Tubo Metalico Ø50mm, Prueba UltraSonico L=30.425m:489396</t>
        </is>
      </c>
      <c r="E283" s="20" t="inlineStr">
        <is>
          <t>TB5</t>
        </is>
      </c>
      <c r="F283" s="20" t="inlineStr">
        <is>
          <t>Pilotes</t>
        </is>
      </c>
      <c r="G283" s="20" t="inlineStr">
        <is>
          <t>Margen Izquierda</t>
        </is>
      </c>
      <c r="H283" s="20" t="inlineStr">
        <is>
          <t>Pilote</t>
        </is>
      </c>
      <c r="I283" s="20" t="inlineStr">
        <is>
          <t>PIL-MI</t>
        </is>
      </c>
      <c r="J283" s="20" t="n">
        <v>0.013</v>
      </c>
      <c r="K283" s="20" t="inlineStr">
        <is>
          <t>Ejecutado</t>
        </is>
      </c>
    </row>
    <row r="284">
      <c r="A284" s="20" t="n">
        <v>983298</v>
      </c>
      <c r="B284" s="20" t="inlineStr">
        <is>
          <t>3zZFx4xL53DPPCX6YmUNbv</t>
        </is>
      </c>
      <c r="C284" s="20" t="inlineStr">
        <is>
          <t>BUILDINGELEMENTPROXY</t>
        </is>
      </c>
      <c r="D284" s="20" t="inlineStr">
        <is>
          <t>Tubo Metalico Ø50mm, Prueba UltraSonico:Tubo Metalico Ø50mm, Prueba UltraSonico L=30.425m:489397</t>
        </is>
      </c>
      <c r="E284" s="20" t="inlineStr">
        <is>
          <t>TB5</t>
        </is>
      </c>
      <c r="F284" s="20" t="inlineStr">
        <is>
          <t>Pilotes</t>
        </is>
      </c>
      <c r="G284" s="20" t="inlineStr">
        <is>
          <t>Margen Izquierda</t>
        </is>
      </c>
      <c r="H284" s="20" t="inlineStr">
        <is>
          <t>Pilote</t>
        </is>
      </c>
      <c r="I284" s="20" t="inlineStr">
        <is>
          <t>PIL-MI</t>
        </is>
      </c>
      <c r="J284" s="20" t="n">
        <v>0.013</v>
      </c>
      <c r="K284" s="20" t="inlineStr">
        <is>
          <t>Ejecutado</t>
        </is>
      </c>
    </row>
    <row r="285">
      <c r="A285" s="20" t="n">
        <v>983326</v>
      </c>
      <c r="B285" s="20" t="inlineStr">
        <is>
          <t>3zZFx4xL53DPPCX6YmUNbw</t>
        </is>
      </c>
      <c r="C285" s="20" t="inlineStr">
        <is>
          <t>BUILDINGELEMENTPROXY</t>
        </is>
      </c>
      <c r="D285" s="20" t="inlineStr">
        <is>
          <t>Tubo Metalico Ø50mm, Prueba UltraSonico:Tubo Metalico Ø50mm, Prueba UltraSonico L=30.425m:489398</t>
        </is>
      </c>
      <c r="E285" s="20" t="inlineStr">
        <is>
          <t>TB5</t>
        </is>
      </c>
      <c r="F285" s="20" t="inlineStr">
        <is>
          <t>Pilotes</t>
        </is>
      </c>
      <c r="G285" s="20" t="inlineStr">
        <is>
          <t>Margen Izquierda</t>
        </is>
      </c>
      <c r="H285" s="20" t="inlineStr">
        <is>
          <t>Pilote</t>
        </is>
      </c>
      <c r="I285" s="20" t="inlineStr">
        <is>
          <t>PIL-MI</t>
        </is>
      </c>
      <c r="J285" s="20" t="n">
        <v>0.013</v>
      </c>
      <c r="K285" s="20" t="inlineStr">
        <is>
          <t>Ejecutado</t>
        </is>
      </c>
    </row>
    <row r="286">
      <c r="A286" s="20" t="n">
        <v>983354</v>
      </c>
      <c r="B286" s="20" t="inlineStr">
        <is>
          <t>3zZFx4xL53DPPCX6YmUNbx</t>
        </is>
      </c>
      <c r="C286" s="20" t="inlineStr">
        <is>
          <t>BUILDINGELEMENTPROXY</t>
        </is>
      </c>
      <c r="D286" s="20" t="inlineStr">
        <is>
          <t>Tubo Metalico Ø50mm, Prueba UltraSonico:Tubo Metalico Ø50mm, Prueba UltraSonico L=30.425m:489399</t>
        </is>
      </c>
      <c r="E286" s="20" t="inlineStr">
        <is>
          <t>TB5</t>
        </is>
      </c>
      <c r="F286" s="20" t="inlineStr">
        <is>
          <t>Pilotes</t>
        </is>
      </c>
      <c r="G286" s="20" t="inlineStr">
        <is>
          <t>Margen Izquierda</t>
        </is>
      </c>
      <c r="H286" s="20" t="inlineStr">
        <is>
          <t>Pilote</t>
        </is>
      </c>
      <c r="I286" s="20" t="inlineStr">
        <is>
          <t>PIL-MI</t>
        </is>
      </c>
      <c r="J286" s="20" t="n">
        <v>0.013</v>
      </c>
      <c r="K286" s="20" t="inlineStr">
        <is>
          <t>Ejecutado</t>
        </is>
      </c>
    </row>
    <row r="287">
      <c r="A287" s="20" t="n">
        <v>983386</v>
      </c>
      <c r="B287" s="20" t="inlineStr">
        <is>
          <t>3zZFx4xL53DPPCX6YmUNbr</t>
        </is>
      </c>
      <c r="C287" s="20" t="inlineStr">
        <is>
          <t>SLAB</t>
        </is>
      </c>
      <c r="D287" s="20" t="inlineStr">
        <is>
          <t>Estribos_Pilote:Pilote_D1500_H30000_fc280:489401</t>
        </is>
      </c>
      <c r="E287" s="20" t="inlineStr">
        <is>
          <t>EI-P14</t>
        </is>
      </c>
      <c r="F287" s="20" t="inlineStr">
        <is>
          <t>Pilotes</t>
        </is>
      </c>
      <c r="G287" s="20" t="inlineStr">
        <is>
          <t>Margen Izquierda</t>
        </is>
      </c>
      <c r="H287" s="20" t="inlineStr">
        <is>
          <t>Pilote</t>
        </is>
      </c>
      <c r="I287" s="20" t="inlineStr">
        <is>
          <t>PIL-MI</t>
        </is>
      </c>
      <c r="J287" s="20" t="n">
        <v>53.014</v>
      </c>
      <c r="K287" s="20" t="inlineStr">
        <is>
          <t>Ejecutado</t>
        </is>
      </c>
    </row>
    <row r="288">
      <c r="A288" s="20" t="n">
        <v>1007782</v>
      </c>
      <c r="B288" s="20" t="inlineStr">
        <is>
          <t>3zZFx4xL53DPPCX6YmUNPs</t>
        </is>
      </c>
      <c r="C288" s="20" t="inlineStr">
        <is>
          <t>BUILDINGELEMENTPROXY</t>
        </is>
      </c>
      <c r="D288" s="20" t="inlineStr">
        <is>
          <t>Tubo Metalico Ø50mm, Prueba UltraSonico:Tubo Metalico Ø50mm, Prueba UltraSonico L=30.425m:489658</t>
        </is>
      </c>
      <c r="E288" s="20" t="inlineStr">
        <is>
          <t>TB5</t>
        </is>
      </c>
      <c r="F288" s="20" t="inlineStr">
        <is>
          <t>Pilotes</t>
        </is>
      </c>
      <c r="G288" s="20" t="inlineStr">
        <is>
          <t>Margen Izquierda</t>
        </is>
      </c>
      <c r="H288" s="20" t="inlineStr">
        <is>
          <t>Pilote</t>
        </is>
      </c>
      <c r="I288" s="20" t="inlineStr">
        <is>
          <t>PIL-MI</t>
        </is>
      </c>
      <c r="J288" s="20" t="n">
        <v>0.013</v>
      </c>
      <c r="K288" s="20" t="inlineStr">
        <is>
          <t>Ejecutado</t>
        </is>
      </c>
    </row>
    <row r="289">
      <c r="A289" s="20" t="n">
        <v>1007810</v>
      </c>
      <c r="B289" s="20" t="inlineStr">
        <is>
          <t>3zZFx4xL53DPPCX6YmUNPt</t>
        </is>
      </c>
      <c r="C289" s="20" t="inlineStr">
        <is>
          <t>BUILDINGELEMENTPROXY</t>
        </is>
      </c>
      <c r="D289" s="20" t="inlineStr">
        <is>
          <t>Tubo Metalico Ø50mm, Prueba UltraSonico:Tubo Metalico Ø50mm, Prueba UltraSonico L=30.425m:489659</t>
        </is>
      </c>
      <c r="E289" s="20" t="inlineStr">
        <is>
          <t>TB5</t>
        </is>
      </c>
      <c r="F289" s="20" t="inlineStr">
        <is>
          <t>Pilotes</t>
        </is>
      </c>
      <c r="G289" s="20" t="inlineStr">
        <is>
          <t>Margen Izquierda</t>
        </is>
      </c>
      <c r="H289" s="20" t="inlineStr">
        <is>
          <t>Pilote</t>
        </is>
      </c>
      <c r="I289" s="20" t="inlineStr">
        <is>
          <t>PIL-MI</t>
        </is>
      </c>
      <c r="J289" s="20" t="n">
        <v>0.013</v>
      </c>
      <c r="K289" s="20" t="inlineStr">
        <is>
          <t>Ejecutado</t>
        </is>
      </c>
    </row>
    <row r="290">
      <c r="A290" s="20" t="n">
        <v>1007838</v>
      </c>
      <c r="B290" s="20" t="inlineStr">
        <is>
          <t>3zZFx4xL53DPPCX6YmUNPm</t>
        </is>
      </c>
      <c r="C290" s="20" t="inlineStr">
        <is>
          <t>BUILDINGELEMENTPROXY</t>
        </is>
      </c>
      <c r="D290" s="20" t="inlineStr">
        <is>
          <t>Tubo Metalico Ø50mm, Prueba UltraSonico:Tubo Metalico Ø50mm, Prueba UltraSonico L=30.425m:489660</t>
        </is>
      </c>
      <c r="E290" s="20" t="inlineStr">
        <is>
          <t>TB5</t>
        </is>
      </c>
      <c r="F290" s="20" t="inlineStr">
        <is>
          <t>Pilotes</t>
        </is>
      </c>
      <c r="G290" s="20" t="inlineStr">
        <is>
          <t>Margen Izquierda</t>
        </is>
      </c>
      <c r="H290" s="20" t="inlineStr">
        <is>
          <t>Pilote</t>
        </is>
      </c>
      <c r="I290" s="20" t="inlineStr">
        <is>
          <t>PIL-MI</t>
        </is>
      </c>
      <c r="J290" s="20" t="n">
        <v>0.013</v>
      </c>
      <c r="K290" s="20" t="inlineStr">
        <is>
          <t>Ejecutado</t>
        </is>
      </c>
    </row>
    <row r="291">
      <c r="A291" s="20" t="n">
        <v>1007866</v>
      </c>
      <c r="B291" s="20" t="inlineStr">
        <is>
          <t>3zZFx4xL53DPPCX6YmUNPn</t>
        </is>
      </c>
      <c r="C291" s="20" t="inlineStr">
        <is>
          <t>BUILDINGELEMENTPROXY</t>
        </is>
      </c>
      <c r="D291" s="20" t="inlineStr">
        <is>
          <t>Tubo Metalico Ø50mm, Prueba UltraSonico:Tubo Metalico Ø50mm, Prueba UltraSonico L=30.425m:489661</t>
        </is>
      </c>
      <c r="E291" s="20" t="inlineStr">
        <is>
          <t>TB5</t>
        </is>
      </c>
      <c r="F291" s="20" t="inlineStr">
        <is>
          <t>Pilotes</t>
        </is>
      </c>
      <c r="G291" s="20" t="inlineStr">
        <is>
          <t>Margen Izquierda</t>
        </is>
      </c>
      <c r="H291" s="20" t="inlineStr">
        <is>
          <t>Pilote</t>
        </is>
      </c>
      <c r="I291" s="20" t="inlineStr">
        <is>
          <t>PIL-MI</t>
        </is>
      </c>
      <c r="J291" s="20" t="n">
        <v>0.013</v>
      </c>
      <c r="K291" s="20" t="inlineStr">
        <is>
          <t>Ejecutado</t>
        </is>
      </c>
    </row>
    <row r="292">
      <c r="A292" s="20" t="n">
        <v>1007898</v>
      </c>
      <c r="B292" s="20" t="inlineStr">
        <is>
          <t>3zZFx4xL53DPPCX6YmUNPp</t>
        </is>
      </c>
      <c r="C292" s="20" t="inlineStr">
        <is>
          <t>SLAB</t>
        </is>
      </c>
      <c r="D292" s="20" t="inlineStr">
        <is>
          <t>Estribos_Pilote:Pilote_D1500_H30000_fc280:489663</t>
        </is>
      </c>
      <c r="E292" s="20" t="inlineStr">
        <is>
          <t>EI-P9</t>
        </is>
      </c>
      <c r="F292" s="20" t="inlineStr">
        <is>
          <t>Pilotes</t>
        </is>
      </c>
      <c r="G292" s="20" t="inlineStr">
        <is>
          <t>Margen Izquierda</t>
        </is>
      </c>
      <c r="H292" s="20" t="inlineStr">
        <is>
          <t>Pilote</t>
        </is>
      </c>
      <c r="I292" s="20" t="inlineStr">
        <is>
          <t>PIL-MI</t>
        </is>
      </c>
      <c r="J292" s="20" t="n">
        <v>53.014</v>
      </c>
      <c r="K292" s="20" t="inlineStr">
        <is>
          <t>Ejecutado</t>
        </is>
      </c>
    </row>
    <row r="293">
      <c r="A293" s="20" t="n">
        <v>1032294</v>
      </c>
      <c r="B293" s="20" t="inlineStr">
        <is>
          <t>3zZFx4xL53DPPCX6YmUNSC</t>
        </is>
      </c>
      <c r="C293" s="20" t="inlineStr">
        <is>
          <t>BUILDINGELEMENTPROXY</t>
        </is>
      </c>
      <c r="D293" s="20" t="inlineStr">
        <is>
          <t>Tubo Metalico Ø50mm, Prueba UltraSonico:Tubo Metalico Ø50mm, Prueba UltraSonico L=30.425m:489920</t>
        </is>
      </c>
      <c r="E293" s="20" t="inlineStr">
        <is>
          <t>TB5</t>
        </is>
      </c>
      <c r="F293" s="20" t="inlineStr">
        <is>
          <t>Pilotes</t>
        </is>
      </c>
      <c r="G293" s="20" t="inlineStr">
        <is>
          <t>Margen Izquierda</t>
        </is>
      </c>
      <c r="H293" s="20" t="inlineStr">
        <is>
          <t>Pilote</t>
        </is>
      </c>
      <c r="I293" s="20" t="inlineStr">
        <is>
          <t>PIL-MI</t>
        </is>
      </c>
      <c r="J293" s="20" t="n">
        <v>0.013</v>
      </c>
      <c r="K293" s="20" t="inlineStr">
        <is>
          <t>Ejecutado</t>
        </is>
      </c>
    </row>
    <row r="294">
      <c r="A294" s="20" t="n">
        <v>1032322</v>
      </c>
      <c r="B294" s="20" t="inlineStr">
        <is>
          <t>3zZFx4xL53DPPCX6YmUNSD</t>
        </is>
      </c>
      <c r="C294" s="20" t="inlineStr">
        <is>
          <t>BUILDINGELEMENTPROXY</t>
        </is>
      </c>
      <c r="D294" s="20" t="inlineStr">
        <is>
          <t>Tubo Metalico Ø50mm, Prueba UltraSonico:Tubo Metalico Ø50mm, Prueba UltraSonico L=30.425m:489921</t>
        </is>
      </c>
      <c r="E294" s="20" t="inlineStr">
        <is>
          <t>TB5</t>
        </is>
      </c>
      <c r="F294" s="20" t="inlineStr">
        <is>
          <t>Pilotes</t>
        </is>
      </c>
      <c r="G294" s="20" t="inlineStr">
        <is>
          <t>Margen Izquierda</t>
        </is>
      </c>
      <c r="H294" s="20" t="inlineStr">
        <is>
          <t>Pilote</t>
        </is>
      </c>
      <c r="I294" s="20" t="inlineStr">
        <is>
          <t>PIL-MI</t>
        </is>
      </c>
      <c r="J294" s="20" t="n">
        <v>0.013</v>
      </c>
      <c r="K294" s="20" t="inlineStr">
        <is>
          <t>Ejecutado</t>
        </is>
      </c>
    </row>
    <row r="295">
      <c r="A295" s="20" t="n">
        <v>1032350</v>
      </c>
      <c r="B295" s="20" t="inlineStr">
        <is>
          <t>3zZFx4xL53DPPCX6YmUNSE</t>
        </is>
      </c>
      <c r="C295" s="20" t="inlineStr">
        <is>
          <t>BUILDINGELEMENTPROXY</t>
        </is>
      </c>
      <c r="D295" s="20" t="inlineStr">
        <is>
          <t>Tubo Metalico Ø50mm, Prueba UltraSonico:Tubo Metalico Ø50mm, Prueba UltraSonico L=30.425m:489922</t>
        </is>
      </c>
      <c r="E295" s="20" t="inlineStr">
        <is>
          <t>TB5</t>
        </is>
      </c>
      <c r="F295" s="20" t="inlineStr">
        <is>
          <t>Pilotes</t>
        </is>
      </c>
      <c r="G295" s="20" t="inlineStr">
        <is>
          <t>Margen Izquierda</t>
        </is>
      </c>
      <c r="H295" s="20" t="inlineStr">
        <is>
          <t>Pilote</t>
        </is>
      </c>
      <c r="I295" s="20" t="inlineStr">
        <is>
          <t>PIL-MI</t>
        </is>
      </c>
      <c r="J295" s="20" t="n">
        <v>0.013</v>
      </c>
      <c r="K295" s="20" t="inlineStr">
        <is>
          <t>Ejecutado</t>
        </is>
      </c>
    </row>
    <row r="296">
      <c r="A296" s="20" t="n">
        <v>1032378</v>
      </c>
      <c r="B296" s="20" t="inlineStr">
        <is>
          <t>3zZFx4xL53DPPCX6YmUNSF</t>
        </is>
      </c>
      <c r="C296" s="20" t="inlineStr">
        <is>
          <t>BUILDINGELEMENTPROXY</t>
        </is>
      </c>
      <c r="D296" s="20" t="inlineStr">
        <is>
          <t>Tubo Metalico Ø50mm, Prueba UltraSonico:Tubo Metalico Ø50mm, Prueba UltraSonico L=30.425m:489923</t>
        </is>
      </c>
      <c r="E296" s="20" t="inlineStr">
        <is>
          <t>TB5</t>
        </is>
      </c>
      <c r="F296" s="20" t="inlineStr">
        <is>
          <t>Pilotes</t>
        </is>
      </c>
      <c r="G296" s="20" t="inlineStr">
        <is>
          <t>Margen Izquierda</t>
        </is>
      </c>
      <c r="H296" s="20" t="inlineStr">
        <is>
          <t>Pilote</t>
        </is>
      </c>
      <c r="I296" s="20" t="inlineStr">
        <is>
          <t>PIL-MI</t>
        </is>
      </c>
      <c r="J296" s="20" t="n">
        <v>0.013</v>
      </c>
      <c r="K296" s="20" t="inlineStr">
        <is>
          <t>Ejecutado</t>
        </is>
      </c>
    </row>
    <row r="297">
      <c r="A297" s="20" t="n">
        <v>2016763</v>
      </c>
      <c r="B297" s="20" t="inlineStr">
        <is>
          <t>1k7Wqw2ZT8BuXPWe0tighs</t>
        </is>
      </c>
      <c r="C297" s="20" t="inlineStr">
        <is>
          <t>BUILDINGELEMENTPROXY</t>
        </is>
      </c>
      <c r="D297" s="20" t="inlineStr">
        <is>
          <t>Postensado_ØVaina (5 Puntos):Ø98mm Vaina:1236779</t>
        </is>
      </c>
      <c r="E297" s="20" t="n"/>
      <c r="F297" s="20" t="inlineStr">
        <is>
          <t>Estribos</t>
        </is>
      </c>
      <c r="G297" s="20" t="inlineStr">
        <is>
          <t>Margen Derecha</t>
        </is>
      </c>
      <c r="H297" s="20" t="inlineStr">
        <is>
          <t>Postensado</t>
        </is>
      </c>
      <c r="I297" s="20" t="inlineStr">
        <is>
          <t>POS-MD</t>
        </is>
      </c>
      <c r="J297" s="20" t="n">
        <v>0.097</v>
      </c>
      <c r="K297" s="20" t="inlineStr">
        <is>
          <t>No iniciado</t>
        </is>
      </c>
    </row>
    <row r="298">
      <c r="A298" s="20" t="n">
        <v>2016801</v>
      </c>
      <c r="B298" s="20" t="inlineStr">
        <is>
          <t>1k7Wqw2ZT8BuXPWe0tighZ</t>
        </is>
      </c>
      <c r="C298" s="20" t="inlineStr">
        <is>
          <t>BUILDINGELEMENTPROXY</t>
        </is>
      </c>
      <c r="D298" s="20" t="inlineStr">
        <is>
          <t>Postensado_ØVaina (5 Puntos):Ø98mm Vaina:1236798</t>
        </is>
      </c>
      <c r="E298" s="20" t="n"/>
      <c r="F298" s="20" t="inlineStr">
        <is>
          <t>Estribos</t>
        </is>
      </c>
      <c r="G298" s="20" t="inlineStr">
        <is>
          <t>Margen Derecha</t>
        </is>
      </c>
      <c r="H298" s="20" t="inlineStr">
        <is>
          <t>Postensado</t>
        </is>
      </c>
      <c r="I298" s="20" t="inlineStr">
        <is>
          <t>POS-MD</t>
        </is>
      </c>
      <c r="J298" s="20" t="n">
        <v>0.097</v>
      </c>
      <c r="K298" s="20" t="inlineStr">
        <is>
          <t>No iniciado</t>
        </is>
      </c>
    </row>
    <row r="299">
      <c r="A299" s="20" t="n">
        <v>2016824</v>
      </c>
      <c r="B299" s="20" t="inlineStr">
        <is>
          <t>1k7Wqw2ZT8BuXPWe0tiggC</t>
        </is>
      </c>
      <c r="C299" s="20" t="inlineStr">
        <is>
          <t>BUILDINGELEMENTPROXY</t>
        </is>
      </c>
      <c r="D299" s="20" t="inlineStr">
        <is>
          <t>Postensado_ØVaina (5 Puntos):Ø98mm Vaina:1236817</t>
        </is>
      </c>
      <c r="E299" s="20" t="n"/>
      <c r="F299" s="20" t="inlineStr">
        <is>
          <t>Estribos</t>
        </is>
      </c>
      <c r="G299" s="20" t="inlineStr">
        <is>
          <t>Margen Derecha</t>
        </is>
      </c>
      <c r="H299" s="20" t="inlineStr">
        <is>
          <t>Postensado</t>
        </is>
      </c>
      <c r="I299" s="20" t="inlineStr">
        <is>
          <t>POS-MD</t>
        </is>
      </c>
      <c r="J299" s="20" t="n">
        <v>0.097</v>
      </c>
      <c r="K299" s="20" t="inlineStr">
        <is>
          <t>No iniciado</t>
        </is>
      </c>
    </row>
    <row r="300">
      <c r="A300" s="20" t="n">
        <v>2016847</v>
      </c>
      <c r="B300" s="20" t="inlineStr">
        <is>
          <t>1k7Wqw2ZT8BuXPWe0tiggr</t>
        </is>
      </c>
      <c r="C300" s="20" t="inlineStr">
        <is>
          <t>BUILDINGELEMENTPROXY</t>
        </is>
      </c>
      <c r="D300" s="20" t="inlineStr">
        <is>
          <t>Postensado_ØVaina (5 Puntos):Ø98mm Vaina:1236840</t>
        </is>
      </c>
      <c r="E300" s="20" t="n"/>
      <c r="F300" s="20" t="inlineStr">
        <is>
          <t>Estribos</t>
        </is>
      </c>
      <c r="G300" s="20" t="inlineStr">
        <is>
          <t>Margen Derecha</t>
        </is>
      </c>
      <c r="H300" s="20" t="inlineStr">
        <is>
          <t>Postensado</t>
        </is>
      </c>
      <c r="I300" s="20" t="inlineStr">
        <is>
          <t>POS-MD</t>
        </is>
      </c>
      <c r="J300" s="20" t="n">
        <v>0.097</v>
      </c>
      <c r="K300" s="20" t="inlineStr">
        <is>
          <t>No iniciado</t>
        </is>
      </c>
    </row>
    <row r="301">
      <c r="A301" s="20" t="n">
        <v>2030464</v>
      </c>
      <c r="B301" s="20" t="inlineStr">
        <is>
          <t>1r3erZoibB8wR7_Pc5ubZU</t>
        </is>
      </c>
      <c r="C301" s="20" t="inlineStr">
        <is>
          <t>BUILDINGELEMENTPROXY</t>
        </is>
      </c>
      <c r="D301" s="20" t="inlineStr">
        <is>
          <t>Postensado_ØVaina (5 Puntos):Ø98mm Vaina:1236985</t>
        </is>
      </c>
      <c r="E301" s="20" t="n"/>
      <c r="F301" s="20" t="inlineStr">
        <is>
          <t>Estribos</t>
        </is>
      </c>
      <c r="G301" s="20" t="inlineStr">
        <is>
          <t>Margen Derecha</t>
        </is>
      </c>
      <c r="H301" s="20" t="inlineStr">
        <is>
          <t>Postensado</t>
        </is>
      </c>
      <c r="I301" s="20" t="inlineStr">
        <is>
          <t>POS-MD</t>
        </is>
      </c>
      <c r="J301" s="20" t="n">
        <v>0.097</v>
      </c>
      <c r="K301" s="20" t="inlineStr">
        <is>
          <t>No iniciado</t>
        </is>
      </c>
    </row>
    <row r="302">
      <c r="A302" s="20" t="n">
        <v>2030488</v>
      </c>
      <c r="B302" s="20" t="inlineStr">
        <is>
          <t>1r3erZoibB8wR7_Pc5ucSY</t>
        </is>
      </c>
      <c r="C302" s="20" t="inlineStr">
        <is>
          <t>BUILDINGELEMENTPROXY</t>
        </is>
      </c>
      <c r="D302" s="20" t="inlineStr">
        <is>
          <t>Postensado_ØVaina (5 Puntos):Ø98mm Vaina:1236997</t>
        </is>
      </c>
      <c r="E302" s="20" t="n"/>
      <c r="F302" s="20" t="inlineStr">
        <is>
          <t>Estribos</t>
        </is>
      </c>
      <c r="G302" s="20" t="inlineStr">
        <is>
          <t>Margen Derecha</t>
        </is>
      </c>
      <c r="H302" s="20" t="inlineStr">
        <is>
          <t>Postensado</t>
        </is>
      </c>
      <c r="I302" s="20" t="inlineStr">
        <is>
          <t>POS-MD</t>
        </is>
      </c>
      <c r="J302" s="20" t="n">
        <v>0.097</v>
      </c>
      <c r="K302" s="20" t="inlineStr">
        <is>
          <t>No iniciado</t>
        </is>
      </c>
    </row>
    <row r="303">
      <c r="A303" s="20" t="n">
        <v>2030511</v>
      </c>
      <c r="B303" s="20" t="inlineStr">
        <is>
          <t>1r3erZoibB8wR7_Pc5ucSs</t>
        </is>
      </c>
      <c r="C303" s="20" t="inlineStr">
        <is>
          <t>BUILDINGELEMENTPROXY</t>
        </is>
      </c>
      <c r="D303" s="20" t="inlineStr">
        <is>
          <t>Postensado_ØVaina (5 Puntos):Ø98mm Vaina:1237009</t>
        </is>
      </c>
      <c r="E303" s="20" t="n"/>
      <c r="F303" s="20" t="inlineStr">
        <is>
          <t>Estribos</t>
        </is>
      </c>
      <c r="G303" s="20" t="inlineStr">
        <is>
          <t>Margen Derecha</t>
        </is>
      </c>
      <c r="H303" s="20" t="inlineStr">
        <is>
          <t>Postensado</t>
        </is>
      </c>
      <c r="I303" s="20" t="inlineStr">
        <is>
          <t>POS-MD</t>
        </is>
      </c>
      <c r="J303" s="20" t="n">
        <v>0.097</v>
      </c>
      <c r="K303" s="20" t="inlineStr">
        <is>
          <t>No iniciado</t>
        </is>
      </c>
    </row>
    <row r="304">
      <c r="A304" s="20" t="n">
        <v>2030534</v>
      </c>
      <c r="B304" s="20" t="inlineStr">
        <is>
          <t>1r3erZoibB8wR7_Pc5ucSw</t>
        </is>
      </c>
      <c r="C304" s="20" t="inlineStr">
        <is>
          <t>BUILDINGELEMENTPROXY</t>
        </is>
      </c>
      <c r="D304" s="20" t="inlineStr">
        <is>
          <t>Postensado_ØVaina (5 Puntos):Ø98mm Vaina:1237021</t>
        </is>
      </c>
      <c r="E304" s="20" t="n"/>
      <c r="F304" s="20" t="inlineStr">
        <is>
          <t>Estribos</t>
        </is>
      </c>
      <c r="G304" s="20" t="inlineStr">
        <is>
          <t>Margen Derecha</t>
        </is>
      </c>
      <c r="H304" s="20" t="inlineStr">
        <is>
          <t>Postensado</t>
        </is>
      </c>
      <c r="I304" s="20" t="inlineStr">
        <is>
          <t>POS-MD</t>
        </is>
      </c>
      <c r="J304" s="20" t="n">
        <v>0.097</v>
      </c>
      <c r="K304" s="20" t="inlineStr">
        <is>
          <t>No iniciado</t>
        </is>
      </c>
    </row>
    <row r="305">
      <c r="A305" s="20" t="n">
        <v>2052152</v>
      </c>
      <c r="B305" s="20" t="inlineStr">
        <is>
          <t>0Rg3YucIPD_hfvAr5zxwL8</t>
        </is>
      </c>
      <c r="C305" s="20" t="inlineStr">
        <is>
          <t>BUILDINGELEMENTPROXY</t>
        </is>
      </c>
      <c r="D305" s="20" t="inlineStr">
        <is>
          <t>Postensado Anclaje Activo:Anclaje Activo:1485370</t>
        </is>
      </c>
      <c r="E305" s="20" t="n"/>
      <c r="F305" s="20" t="inlineStr">
        <is>
          <t>Estribos</t>
        </is>
      </c>
      <c r="G305" s="20" t="inlineStr">
        <is>
          <t>Margen Derecha</t>
        </is>
      </c>
      <c r="H305" s="20" t="inlineStr">
        <is>
          <t>Postensado</t>
        </is>
      </c>
      <c r="I305" s="20" t="inlineStr">
        <is>
          <t>POS-MD</t>
        </is>
      </c>
      <c r="J305" s="20" t="n">
        <v>0.014</v>
      </c>
      <c r="K305" s="20" t="inlineStr">
        <is>
          <t>No iniciado</t>
        </is>
      </c>
    </row>
    <row r="306">
      <c r="A306" s="20" t="n">
        <v>2052191</v>
      </c>
      <c r="B306" s="20" t="inlineStr">
        <is>
          <t>0Rg3YucIPD_hfvAr5zxwIp</t>
        </is>
      </c>
      <c r="C306" s="20" t="inlineStr">
        <is>
          <t>BUILDINGELEMENTPROXY</t>
        </is>
      </c>
      <c r="D306" s="20" t="inlineStr">
        <is>
          <t>Postensado Anclaje Activo:Anclaje Activo:1485761</t>
        </is>
      </c>
      <c r="E306" s="20" t="n"/>
      <c r="F306" s="20" t="inlineStr">
        <is>
          <t>Estribos</t>
        </is>
      </c>
      <c r="G306" s="20" t="inlineStr">
        <is>
          <t>Margen Derecha</t>
        </is>
      </c>
      <c r="H306" s="20" t="inlineStr">
        <is>
          <t>Postensado</t>
        </is>
      </c>
      <c r="I306" s="20" t="inlineStr">
        <is>
          <t>POS-MD</t>
        </is>
      </c>
      <c r="J306" s="20" t="n">
        <v>0.014</v>
      </c>
      <c r="K306" s="20" t="inlineStr">
        <is>
          <t>No iniciado</t>
        </is>
      </c>
    </row>
    <row r="307">
      <c r="A307" s="20" t="n">
        <v>2052215</v>
      </c>
      <c r="B307" s="20" t="inlineStr">
        <is>
          <t>0Rg3YucIPD_hfvAr5zxwIG</t>
        </is>
      </c>
      <c r="C307" s="20" t="inlineStr">
        <is>
          <t>BUILDINGELEMENTPROXY</t>
        </is>
      </c>
      <c r="D307" s="20" t="inlineStr">
        <is>
          <t>Postensado Anclaje Activo:Anclaje Activo:1485794</t>
        </is>
      </c>
      <c r="E307" s="20" t="n"/>
      <c r="F307" s="20" t="inlineStr">
        <is>
          <t>Estribos</t>
        </is>
      </c>
      <c r="G307" s="20" t="inlineStr">
        <is>
          <t>Margen Derecha</t>
        </is>
      </c>
      <c r="H307" s="20" t="inlineStr">
        <is>
          <t>Postensado</t>
        </is>
      </c>
      <c r="I307" s="20" t="inlineStr">
        <is>
          <t>POS-MD</t>
        </is>
      </c>
      <c r="J307" s="20" t="n">
        <v>0.014</v>
      </c>
      <c r="K307" s="20" t="inlineStr">
        <is>
          <t>No iniciado</t>
        </is>
      </c>
    </row>
    <row r="308">
      <c r="A308" s="20" t="n">
        <v>2052239</v>
      </c>
      <c r="B308" s="20" t="inlineStr">
        <is>
          <t>0Rg3YucIPD_hfvAr5zxwIN</t>
        </is>
      </c>
      <c r="C308" s="20" t="inlineStr">
        <is>
          <t>BUILDINGELEMENTPROXY</t>
        </is>
      </c>
      <c r="D308" s="20" t="inlineStr">
        <is>
          <t>Postensado Anclaje Activo:Anclaje Activo:1485797</t>
        </is>
      </c>
      <c r="E308" s="20" t="n"/>
      <c r="F308" s="20" t="inlineStr">
        <is>
          <t>Estribos</t>
        </is>
      </c>
      <c r="G308" s="20" t="inlineStr">
        <is>
          <t>Margen Derecha</t>
        </is>
      </c>
      <c r="H308" s="20" t="inlineStr">
        <is>
          <t>Postensado</t>
        </is>
      </c>
      <c r="I308" s="20" t="inlineStr">
        <is>
          <t>POS-MD</t>
        </is>
      </c>
      <c r="J308" s="20" t="n">
        <v>0.014</v>
      </c>
      <c r="K308" s="20" t="inlineStr">
        <is>
          <t>No iniciado</t>
        </is>
      </c>
    </row>
    <row r="309">
      <c r="A309" s="20" t="n">
        <v>2052263</v>
      </c>
      <c r="B309" s="20" t="inlineStr">
        <is>
          <t>0Rg3YucIPD_hfvAr5zxwIQ</t>
        </is>
      </c>
      <c r="C309" s="20" t="inlineStr">
        <is>
          <t>BUILDINGELEMENTPROXY</t>
        </is>
      </c>
      <c r="D309" s="20" t="inlineStr">
        <is>
          <t>Postensado Anclaje Activo:Anclaje Activo:1485800</t>
        </is>
      </c>
      <c r="E309" s="20" t="n"/>
      <c r="F309" s="20" t="inlineStr">
        <is>
          <t>Estribos</t>
        </is>
      </c>
      <c r="G309" s="20" t="inlineStr">
        <is>
          <t>Margen Derecha</t>
        </is>
      </c>
      <c r="H309" s="20" t="inlineStr">
        <is>
          <t>Postensado</t>
        </is>
      </c>
      <c r="I309" s="20" t="inlineStr">
        <is>
          <t>POS-MD</t>
        </is>
      </c>
      <c r="J309" s="20" t="n">
        <v>0.014</v>
      </c>
      <c r="K309" s="20" t="inlineStr">
        <is>
          <t>No iniciado</t>
        </is>
      </c>
    </row>
    <row r="310">
      <c r="A310" s="20" t="n">
        <v>2052287</v>
      </c>
      <c r="B310" s="20" t="inlineStr">
        <is>
          <t>0Rg3YucIPD_hfvAr5zxwIP</t>
        </is>
      </c>
      <c r="C310" s="20" t="inlineStr">
        <is>
          <t>BUILDINGELEMENTPROXY</t>
        </is>
      </c>
      <c r="D310" s="20" t="inlineStr">
        <is>
          <t>Postensado Anclaje Activo:Anclaje Activo:1485803</t>
        </is>
      </c>
      <c r="E310" s="20" t="n"/>
      <c r="F310" s="20" t="inlineStr">
        <is>
          <t>Estribos</t>
        </is>
      </c>
      <c r="G310" s="20" t="inlineStr">
        <is>
          <t>Margen Derecha</t>
        </is>
      </c>
      <c r="H310" s="20" t="inlineStr">
        <is>
          <t>Postensado</t>
        </is>
      </c>
      <c r="I310" s="20" t="inlineStr">
        <is>
          <t>POS-MD</t>
        </is>
      </c>
      <c r="J310" s="20" t="n">
        <v>0.014</v>
      </c>
      <c r="K310" s="20" t="inlineStr">
        <is>
          <t>No iniciado</t>
        </is>
      </c>
    </row>
    <row r="311">
      <c r="A311" s="20" t="n">
        <v>2052311</v>
      </c>
      <c r="B311" s="20" t="inlineStr">
        <is>
          <t>0Rg3YucIPD_hfvAr5zxwIS</t>
        </is>
      </c>
      <c r="C311" s="20" t="inlineStr">
        <is>
          <t>BUILDINGELEMENTPROXY</t>
        </is>
      </c>
      <c r="D311" s="20" t="inlineStr">
        <is>
          <t>Postensado Anclaje Activo:Anclaje Activo:1485806</t>
        </is>
      </c>
      <c r="E311" s="20" t="n"/>
      <c r="F311" s="20" t="inlineStr">
        <is>
          <t>Estribos</t>
        </is>
      </c>
      <c r="G311" s="20" t="inlineStr">
        <is>
          <t>Margen Derecha</t>
        </is>
      </c>
      <c r="H311" s="20" t="inlineStr">
        <is>
          <t>Postensado</t>
        </is>
      </c>
      <c r="I311" s="20" t="inlineStr">
        <is>
          <t>POS-MD</t>
        </is>
      </c>
      <c r="J311" s="20" t="n">
        <v>0.014</v>
      </c>
      <c r="K311" s="20" t="inlineStr">
        <is>
          <t>No iniciado</t>
        </is>
      </c>
    </row>
    <row r="312">
      <c r="A312" s="20" t="n">
        <v>2052335</v>
      </c>
      <c r="B312" s="20" t="inlineStr">
        <is>
          <t>0Rg3YucIPD_hfvAr5zxwI3</t>
        </is>
      </c>
      <c r="C312" s="20" t="inlineStr">
        <is>
          <t>BUILDINGELEMENTPROXY</t>
        </is>
      </c>
      <c r="D312" s="20" t="inlineStr">
        <is>
          <t>Postensado Anclaje Activo:Anclaje Activo:1485809</t>
        </is>
      </c>
      <c r="E312" s="20" t="n"/>
      <c r="F312" s="20" t="inlineStr">
        <is>
          <t>Estribos</t>
        </is>
      </c>
      <c r="G312" s="20" t="inlineStr">
        <is>
          <t>Margen Derecha</t>
        </is>
      </c>
      <c r="H312" s="20" t="inlineStr">
        <is>
          <t>Postensado</t>
        </is>
      </c>
      <c r="I312" s="20" t="inlineStr">
        <is>
          <t>POS-MD</t>
        </is>
      </c>
      <c r="J312" s="20" t="n">
        <v>0.014</v>
      </c>
      <c r="K312" s="20" t="inlineStr">
        <is>
          <t>No iniciado</t>
        </is>
      </c>
    </row>
    <row r="313">
      <c r="A313" s="20" t="n">
        <v>2062926</v>
      </c>
      <c r="B313" s="20" t="inlineStr">
        <is>
          <t>27ogLNdiX0wfjGiF33PxSR</t>
        </is>
      </c>
      <c r="C313" s="20" t="inlineStr">
        <is>
          <t>BUILDINGELEMENTPROXY</t>
        </is>
      </c>
      <c r="D313" s="20" t="inlineStr">
        <is>
          <t>Postensado Anclaje Pasivo:Postensado Anclaje Pasivo:1493616</t>
        </is>
      </c>
      <c r="E313" s="20" t="n"/>
      <c r="F313" s="20" t="inlineStr">
        <is>
          <t>Estribos</t>
        </is>
      </c>
      <c r="G313" s="20" t="inlineStr">
        <is>
          <t>Margen Derecha</t>
        </is>
      </c>
      <c r="H313" s="20" t="inlineStr">
        <is>
          <t>Postensado</t>
        </is>
      </c>
      <c r="I313" s="20" t="inlineStr">
        <is>
          <t>POS-MD</t>
        </is>
      </c>
      <c r="J313" s="20" t="n">
        <v>0.004</v>
      </c>
      <c r="K313" s="20" t="inlineStr">
        <is>
          <t>No iniciado</t>
        </is>
      </c>
    </row>
    <row r="314">
      <c r="A314" s="20" t="n">
        <v>2062963</v>
      </c>
      <c r="B314" s="20" t="inlineStr">
        <is>
          <t>27ogLNdiX0wfjGiF33Px2T</t>
        </is>
      </c>
      <c r="C314" s="20" t="inlineStr">
        <is>
          <t>BUILDINGELEMENTPROXY</t>
        </is>
      </c>
      <c r="D314" s="20" t="inlineStr">
        <is>
          <t>Postensado Anclaje Pasivo:Postensado Anclaje Pasivo:1494518</t>
        </is>
      </c>
      <c r="E314" s="20" t="n"/>
      <c r="F314" s="20" t="inlineStr">
        <is>
          <t>Estribos</t>
        </is>
      </c>
      <c r="G314" s="20" t="inlineStr">
        <is>
          <t>Margen Derecha</t>
        </is>
      </c>
      <c r="H314" s="20" t="inlineStr">
        <is>
          <t>Postensado</t>
        </is>
      </c>
      <c r="I314" s="20" t="inlineStr">
        <is>
          <t>POS-MD</t>
        </is>
      </c>
      <c r="J314" s="20" t="n">
        <v>0.004</v>
      </c>
      <c r="K314" s="20" t="inlineStr">
        <is>
          <t>Ejecutado</t>
        </is>
      </c>
    </row>
    <row r="315">
      <c r="A315" s="20" t="n">
        <v>2062987</v>
      </c>
      <c r="B315" s="20" t="inlineStr">
        <is>
          <t>27ogLNdiX0wfjGiF33PxDa</t>
        </is>
      </c>
      <c r="C315" s="20" t="inlineStr">
        <is>
          <t>BUILDINGELEMENTPROXY</t>
        </is>
      </c>
      <c r="D315" s="20" t="inlineStr">
        <is>
          <t>Postensado Anclaje Pasivo:Postensado Anclaje Pasivo:1494543</t>
        </is>
      </c>
      <c r="E315" s="20" t="n"/>
      <c r="F315" s="20" t="inlineStr">
        <is>
          <t>Estribos</t>
        </is>
      </c>
      <c r="G315" s="20" t="inlineStr">
        <is>
          <t>Margen Derecha</t>
        </is>
      </c>
      <c r="H315" s="20" t="inlineStr">
        <is>
          <t>Postensado</t>
        </is>
      </c>
      <c r="I315" s="20" t="inlineStr">
        <is>
          <t>POS-MD</t>
        </is>
      </c>
      <c r="J315" s="20" t="n">
        <v>0.004</v>
      </c>
      <c r="K315" s="20" t="inlineStr">
        <is>
          <t>Ejecutado</t>
        </is>
      </c>
    </row>
    <row r="316">
      <c r="A316" s="20" t="n">
        <v>2063010</v>
      </c>
      <c r="B316" s="20" t="inlineStr">
        <is>
          <t>27ogLNdiX0wfjGiF33PxDw</t>
        </is>
      </c>
      <c r="C316" s="20" t="inlineStr">
        <is>
          <t>BUILDINGELEMENTPROXY</t>
        </is>
      </c>
      <c r="D316" s="20" t="inlineStr">
        <is>
          <t>Postensado Anclaje Pasivo:Postensado Anclaje Pasivo:1494545</t>
        </is>
      </c>
      <c r="E316" s="20" t="n"/>
      <c r="F316" s="20" t="inlineStr">
        <is>
          <t>Estribos</t>
        </is>
      </c>
      <c r="G316" s="20" t="inlineStr">
        <is>
          <t>Margen Derecha</t>
        </is>
      </c>
      <c r="H316" s="20" t="inlineStr">
        <is>
          <t>Postensado</t>
        </is>
      </c>
      <c r="I316" s="20" t="inlineStr">
        <is>
          <t>POS-MD</t>
        </is>
      </c>
      <c r="J316" s="20" t="n">
        <v>0.004</v>
      </c>
      <c r="K316" s="20" t="inlineStr">
        <is>
          <t>Ejecutado</t>
        </is>
      </c>
    </row>
    <row r="317">
      <c r="A317" s="20" t="n">
        <v>2063033</v>
      </c>
      <c r="B317" s="20" t="inlineStr">
        <is>
          <t>27ogLNdiX0wfjGiF33PxDu</t>
        </is>
      </c>
      <c r="C317" s="20" t="inlineStr">
        <is>
          <t>BUILDINGELEMENTPROXY</t>
        </is>
      </c>
      <c r="D317" s="20" t="inlineStr">
        <is>
          <t>Postensado Anclaje Pasivo:Postensado Anclaje Pasivo:1494547</t>
        </is>
      </c>
      <c r="E317" s="20" t="n"/>
      <c r="F317" s="20" t="inlineStr">
        <is>
          <t>Estribos</t>
        </is>
      </c>
      <c r="G317" s="20" t="inlineStr">
        <is>
          <t>Margen Derecha</t>
        </is>
      </c>
      <c r="H317" s="20" t="inlineStr">
        <is>
          <t>Postensado</t>
        </is>
      </c>
      <c r="I317" s="20" t="inlineStr">
        <is>
          <t>POS-MD</t>
        </is>
      </c>
      <c r="J317" s="20" t="n">
        <v>0.004</v>
      </c>
      <c r="K317" s="20" t="inlineStr">
        <is>
          <t>Ejecutado</t>
        </is>
      </c>
    </row>
    <row r="318">
      <c r="A318" s="20" t="n">
        <v>2063056</v>
      </c>
      <c r="B318" s="20" t="inlineStr">
        <is>
          <t>27ogLNdiX0wfjGiF33PxD_</t>
        </is>
      </c>
      <c r="C318" s="20" t="inlineStr">
        <is>
          <t>BUILDINGELEMENTPROXY</t>
        </is>
      </c>
      <c r="D318" s="20" t="inlineStr">
        <is>
          <t>Postensado Anclaje Pasivo:Postensado Anclaje Pasivo:1494549</t>
        </is>
      </c>
      <c r="E318" s="20" t="n"/>
      <c r="F318" s="20" t="inlineStr">
        <is>
          <t>Estribos</t>
        </is>
      </c>
      <c r="G318" s="20" t="inlineStr">
        <is>
          <t>Margen Derecha</t>
        </is>
      </c>
      <c r="H318" s="20" t="inlineStr">
        <is>
          <t>Postensado</t>
        </is>
      </c>
      <c r="I318" s="20" t="inlineStr">
        <is>
          <t>POS-MD</t>
        </is>
      </c>
      <c r="J318" s="20" t="n">
        <v>0.004</v>
      </c>
      <c r="K318" s="20" t="inlineStr">
        <is>
          <t>Ejecutado</t>
        </is>
      </c>
    </row>
    <row r="319">
      <c r="A319" s="20" t="n">
        <v>2063079</v>
      </c>
      <c r="B319" s="20" t="inlineStr">
        <is>
          <t>27ogLNdiX0wfjGiF33PxDy</t>
        </is>
      </c>
      <c r="C319" s="20" t="inlineStr">
        <is>
          <t>BUILDINGELEMENTPROXY</t>
        </is>
      </c>
      <c r="D319" s="20" t="inlineStr">
        <is>
          <t>Postensado Anclaje Pasivo:Postensado Anclaje Pasivo:1494551</t>
        </is>
      </c>
      <c r="E319" s="20" t="n"/>
      <c r="F319" s="20" t="inlineStr">
        <is>
          <t>Estribos</t>
        </is>
      </c>
      <c r="G319" s="20" t="inlineStr">
        <is>
          <t>Margen Derecha</t>
        </is>
      </c>
      <c r="H319" s="20" t="inlineStr">
        <is>
          <t>Postensado</t>
        </is>
      </c>
      <c r="I319" s="20" t="inlineStr">
        <is>
          <t>POS-MD</t>
        </is>
      </c>
      <c r="J319" s="20" t="n">
        <v>0.004</v>
      </c>
      <c r="K319" s="20" t="inlineStr">
        <is>
          <t>Ejecutado</t>
        </is>
      </c>
    </row>
    <row r="320">
      <c r="A320" s="20" t="n">
        <v>2063102</v>
      </c>
      <c r="B320" s="20" t="inlineStr">
        <is>
          <t>27ogLNdiX0wfjGiF33PxDo</t>
        </is>
      </c>
      <c r="C320" s="20" t="inlineStr">
        <is>
          <t>BUILDINGELEMENTPROXY</t>
        </is>
      </c>
      <c r="D320" s="20" t="inlineStr">
        <is>
          <t>Postensado Anclaje Pasivo:Postensado Anclaje Pasivo:1494553</t>
        </is>
      </c>
      <c r="E320" s="20" t="n"/>
      <c r="F320" s="20" t="inlineStr">
        <is>
          <t>Estribos</t>
        </is>
      </c>
      <c r="G320" s="20" t="inlineStr">
        <is>
          <t>Margen Derecha</t>
        </is>
      </c>
      <c r="H320" s="20" t="inlineStr">
        <is>
          <t>Postensado</t>
        </is>
      </c>
      <c r="I320" s="20" t="inlineStr">
        <is>
          <t>POS-MD</t>
        </is>
      </c>
      <c r="J320" s="20" t="n">
        <v>0.004</v>
      </c>
      <c r="K320" s="20" t="inlineStr">
        <is>
          <t>Ejecutado</t>
        </is>
      </c>
    </row>
    <row r="321">
      <c r="A321" s="20" t="n">
        <v>2417449</v>
      </c>
      <c r="B321" s="20" t="inlineStr">
        <is>
          <t>31IX94I6r2efzgAGrOkEqk</t>
        </is>
      </c>
      <c r="C321" s="20" t="inlineStr">
        <is>
          <t>BUILDINGELEMENTPROXY</t>
        </is>
      </c>
      <c r="D321" s="20" t="inlineStr">
        <is>
          <t>Postensado_ØVaina (5 Puntos):Ø98mm Vaina:1528441</t>
        </is>
      </c>
      <c r="E321" s="20" t="n"/>
      <c r="F321" s="20" t="inlineStr">
        <is>
          <t>Estribos</t>
        </is>
      </c>
      <c r="G321" s="20" t="inlineStr">
        <is>
          <t>Margen Izquierda</t>
        </is>
      </c>
      <c r="H321" s="20" t="inlineStr">
        <is>
          <t>Postensado</t>
        </is>
      </c>
      <c r="I321" s="20" t="inlineStr">
        <is>
          <t>POS-MI</t>
        </is>
      </c>
      <c r="J321" s="20" t="n">
        <v>0.097</v>
      </c>
      <c r="K321" s="20" t="inlineStr">
        <is>
          <t>Ejecutado</t>
        </is>
      </c>
    </row>
    <row r="322">
      <c r="A322" s="20" t="n">
        <v>2417472</v>
      </c>
      <c r="B322" s="20" t="inlineStr">
        <is>
          <t>31IX94I6r2efzgAGrOkEtI</t>
        </is>
      </c>
      <c r="C322" s="20" t="inlineStr">
        <is>
          <t>BUILDINGELEMENTPROXY</t>
        </is>
      </c>
      <c r="D322" s="20" t="inlineStr">
        <is>
          <t>Postensado_ØVaina (5 Puntos):Ø98mm Vaina:1528453</t>
        </is>
      </c>
      <c r="E322" s="20" t="n"/>
      <c r="F322" s="20" t="inlineStr">
        <is>
          <t>Estribos</t>
        </is>
      </c>
      <c r="G322" s="20" t="inlineStr">
        <is>
          <t>Margen Izquierda</t>
        </is>
      </c>
      <c r="H322" s="20" t="inlineStr">
        <is>
          <t>Postensado</t>
        </is>
      </c>
      <c r="I322" s="20" t="inlineStr">
        <is>
          <t>POS-MI</t>
        </is>
      </c>
      <c r="J322" s="20" t="n">
        <v>0.097</v>
      </c>
      <c r="K322" s="20" t="inlineStr">
        <is>
          <t>Ejecutado</t>
        </is>
      </c>
    </row>
    <row r="323">
      <c r="A323" s="20" t="n">
        <v>2417495</v>
      </c>
      <c r="B323" s="20" t="inlineStr">
        <is>
          <t>31IX94I6r2efzgAGrOkEt6</t>
        </is>
      </c>
      <c r="C323" s="20" t="inlineStr">
        <is>
          <t>BUILDINGELEMENTPROXY</t>
        </is>
      </c>
      <c r="D323" s="20" t="inlineStr">
        <is>
          <t>Postensado_ØVaina (5 Puntos):Ø98mm Vaina:1528465</t>
        </is>
      </c>
      <c r="E323" s="20" t="n"/>
      <c r="F323" s="20" t="inlineStr">
        <is>
          <t>Estribos</t>
        </is>
      </c>
      <c r="G323" s="20" t="inlineStr">
        <is>
          <t>Margen Izquierda</t>
        </is>
      </c>
      <c r="H323" s="20" t="inlineStr">
        <is>
          <t>Postensado</t>
        </is>
      </c>
      <c r="I323" s="20" t="inlineStr">
        <is>
          <t>POS-MI</t>
        </is>
      </c>
      <c r="J323" s="20" t="n">
        <v>0.097</v>
      </c>
      <c r="K323" s="20" t="inlineStr">
        <is>
          <t>Ejecutado</t>
        </is>
      </c>
    </row>
    <row r="324">
      <c r="A324" s="20" t="n">
        <v>2417518</v>
      </c>
      <c r="B324" s="20" t="inlineStr">
        <is>
          <t>31IX94I6r2efzgAGrOkEtA</t>
        </is>
      </c>
      <c r="C324" s="20" t="inlineStr">
        <is>
          <t>BUILDINGELEMENTPROXY</t>
        </is>
      </c>
      <c r="D324" s="20" t="inlineStr">
        <is>
          <t>Postensado_ØVaina (5 Puntos):Ø98mm Vaina:1528477</t>
        </is>
      </c>
      <c r="E324" s="20" t="n"/>
      <c r="F324" s="20" t="inlineStr">
        <is>
          <t>Estribos</t>
        </is>
      </c>
      <c r="G324" s="20" t="inlineStr">
        <is>
          <t>Margen Izquierda</t>
        </is>
      </c>
      <c r="H324" s="20" t="inlineStr">
        <is>
          <t>Postensado</t>
        </is>
      </c>
      <c r="I324" s="20" t="inlineStr">
        <is>
          <t>POS-MI</t>
        </is>
      </c>
      <c r="J324" s="20" t="n">
        <v>0.097</v>
      </c>
      <c r="K324" s="20" t="inlineStr">
        <is>
          <t>Ejecutado</t>
        </is>
      </c>
    </row>
    <row r="325">
      <c r="A325" s="20" t="n">
        <v>2417541</v>
      </c>
      <c r="B325" s="20" t="inlineStr">
        <is>
          <t>31IX94I6r2efzgAGrOkEt_</t>
        </is>
      </c>
      <c r="C325" s="20" t="inlineStr">
        <is>
          <t>BUILDINGELEMENTPROXY</t>
        </is>
      </c>
      <c r="D325" s="20" t="inlineStr">
        <is>
          <t>Postensado_ØVaina (5 Puntos):Ø98mm Vaina:1528489</t>
        </is>
      </c>
      <c r="E325" s="20" t="n"/>
      <c r="F325" s="20" t="inlineStr">
        <is>
          <t>Estribos</t>
        </is>
      </c>
      <c r="G325" s="20" t="inlineStr">
        <is>
          <t>Margen Izquierda</t>
        </is>
      </c>
      <c r="H325" s="20" t="inlineStr">
        <is>
          <t>Postensado</t>
        </is>
      </c>
      <c r="I325" s="20" t="inlineStr">
        <is>
          <t>POS-MI</t>
        </is>
      </c>
      <c r="J325" s="20" t="n">
        <v>0.097</v>
      </c>
      <c r="K325" s="20" t="inlineStr">
        <is>
          <t>Ejecutado</t>
        </is>
      </c>
    </row>
    <row r="326">
      <c r="A326" s="20" t="n">
        <v>2417564</v>
      </c>
      <c r="B326" s="20" t="inlineStr">
        <is>
          <t>31IX94I6r2efzgAGrOkEtY</t>
        </is>
      </c>
      <c r="C326" s="20" t="inlineStr">
        <is>
          <t>BUILDINGELEMENTPROXY</t>
        </is>
      </c>
      <c r="D326" s="20" t="inlineStr">
        <is>
          <t>Postensado_ØVaina (5 Puntos):Ø98mm Vaina:1528501</t>
        </is>
      </c>
      <c r="E326" s="20" t="n"/>
      <c r="F326" s="20" t="inlineStr">
        <is>
          <t>Estribos</t>
        </is>
      </c>
      <c r="G326" s="20" t="inlineStr">
        <is>
          <t>Margen Izquierda</t>
        </is>
      </c>
      <c r="H326" s="20" t="inlineStr">
        <is>
          <t>Postensado</t>
        </is>
      </c>
      <c r="I326" s="20" t="inlineStr">
        <is>
          <t>POS-MI</t>
        </is>
      </c>
      <c r="J326" s="20" t="n">
        <v>0.097</v>
      </c>
      <c r="K326" s="20" t="inlineStr">
        <is>
          <t>Ejecutado</t>
        </is>
      </c>
    </row>
    <row r="327">
      <c r="A327" s="20" t="n">
        <v>2417587</v>
      </c>
      <c r="B327" s="20" t="inlineStr">
        <is>
          <t>31IX94I6r2efzgAGrOkEsM</t>
        </is>
      </c>
      <c r="C327" s="20" t="inlineStr">
        <is>
          <t>BUILDINGELEMENTPROXY</t>
        </is>
      </c>
      <c r="D327" s="20" t="inlineStr">
        <is>
          <t>Postensado_ØVaina (5 Puntos):Ø98mm Vaina:1528513</t>
        </is>
      </c>
      <c r="E327" s="20" t="n"/>
      <c r="F327" s="20" t="inlineStr">
        <is>
          <t>Estribos</t>
        </is>
      </c>
      <c r="G327" s="20" t="inlineStr">
        <is>
          <t>Margen Izquierda</t>
        </is>
      </c>
      <c r="H327" s="20" t="inlineStr">
        <is>
          <t>Postensado</t>
        </is>
      </c>
      <c r="I327" s="20" t="inlineStr">
        <is>
          <t>POS-MI</t>
        </is>
      </c>
      <c r="J327" s="20" t="n">
        <v>0.097</v>
      </c>
      <c r="K327" s="20" t="inlineStr">
        <is>
          <t>Ejecutado</t>
        </is>
      </c>
    </row>
    <row r="328">
      <c r="A328" s="20" t="n">
        <v>2417610</v>
      </c>
      <c r="B328" s="20" t="inlineStr">
        <is>
          <t>31IX94I6r2efzgAGrOkEsQ</t>
        </is>
      </c>
      <c r="C328" s="20" t="inlineStr">
        <is>
          <t>BUILDINGELEMENTPROXY</t>
        </is>
      </c>
      <c r="D328" s="20" t="inlineStr">
        <is>
          <t>Postensado_ØVaina (5 Puntos):Ø98mm Vaina:1528525</t>
        </is>
      </c>
      <c r="E328" s="20" t="n"/>
      <c r="F328" s="20" t="inlineStr">
        <is>
          <t>Estribos</t>
        </is>
      </c>
      <c r="G328" s="20" t="inlineStr">
        <is>
          <t>Margen Izquierda</t>
        </is>
      </c>
      <c r="H328" s="20" t="inlineStr">
        <is>
          <t>Postensado</t>
        </is>
      </c>
      <c r="I328" s="20" t="inlineStr">
        <is>
          <t>POS-MI</t>
        </is>
      </c>
      <c r="J328" s="20" t="n">
        <v>0.097</v>
      </c>
      <c r="K328" s="20" t="inlineStr">
        <is>
          <t>Ejecutado</t>
        </is>
      </c>
    </row>
    <row r="329">
      <c r="A329" s="20" t="n">
        <v>2439049</v>
      </c>
      <c r="B329" s="20" t="inlineStr">
        <is>
          <t>31IX94I6r2efzgAGrOkEsE</t>
        </is>
      </c>
      <c r="C329" s="20" t="inlineStr">
        <is>
          <t>BUILDINGELEMENTPROXY</t>
        </is>
      </c>
      <c r="D329" s="20" t="inlineStr">
        <is>
          <t>Postensado Anclaje Activo:Anclaje Activo:1528537</t>
        </is>
      </c>
      <c r="E329" s="20" t="n"/>
      <c r="F329" s="20" t="inlineStr">
        <is>
          <t>Estribos</t>
        </is>
      </c>
      <c r="G329" s="20" t="inlineStr">
        <is>
          <t>Margen Izquierda</t>
        </is>
      </c>
      <c r="H329" s="20" t="inlineStr">
        <is>
          <t>Postensado</t>
        </is>
      </c>
      <c r="I329" s="20" t="inlineStr">
        <is>
          <t>POS-MI</t>
        </is>
      </c>
      <c r="J329" s="20" t="n">
        <v>0.014</v>
      </c>
      <c r="K329" s="20" t="inlineStr">
        <is>
          <t>No iniciado</t>
        </is>
      </c>
    </row>
    <row r="330">
      <c r="A330" s="20" t="n">
        <v>2439073</v>
      </c>
      <c r="B330" s="20" t="inlineStr">
        <is>
          <t>31IX94I6r2efzgAGrOkEsD</t>
        </is>
      </c>
      <c r="C330" s="20" t="inlineStr">
        <is>
          <t>BUILDINGELEMENTPROXY</t>
        </is>
      </c>
      <c r="D330" s="20" t="inlineStr">
        <is>
          <t>Postensado Anclaje Activo:Anclaje Activo:1528538</t>
        </is>
      </c>
      <c r="E330" s="20" t="n"/>
      <c r="F330" s="20" t="inlineStr">
        <is>
          <t>Estribos</t>
        </is>
      </c>
      <c r="G330" s="20" t="inlineStr">
        <is>
          <t>Margen Izquierda</t>
        </is>
      </c>
      <c r="H330" s="20" t="inlineStr">
        <is>
          <t>Postensado</t>
        </is>
      </c>
      <c r="I330" s="20" t="inlineStr">
        <is>
          <t>POS-MI</t>
        </is>
      </c>
      <c r="J330" s="20" t="n">
        <v>0.014</v>
      </c>
      <c r="K330" s="20" t="inlineStr">
        <is>
          <t>No iniciado</t>
        </is>
      </c>
    </row>
    <row r="331">
      <c r="A331" s="20" t="n">
        <v>2439097</v>
      </c>
      <c r="B331" s="20" t="inlineStr">
        <is>
          <t>31IX94I6r2efzgAGrOkEsC</t>
        </is>
      </c>
      <c r="C331" s="20" t="inlineStr">
        <is>
          <t>BUILDINGELEMENTPROXY</t>
        </is>
      </c>
      <c r="D331" s="20" t="inlineStr">
        <is>
          <t>Postensado Anclaje Activo:Anclaje Activo:1528539</t>
        </is>
      </c>
      <c r="E331" s="20" t="n"/>
      <c r="F331" s="20" t="inlineStr">
        <is>
          <t>Estribos</t>
        </is>
      </c>
      <c r="G331" s="20" t="inlineStr">
        <is>
          <t>Margen Izquierda</t>
        </is>
      </c>
      <c r="H331" s="20" t="inlineStr">
        <is>
          <t>Postensado</t>
        </is>
      </c>
      <c r="I331" s="20" t="inlineStr">
        <is>
          <t>POS-MI</t>
        </is>
      </c>
      <c r="J331" s="20" t="n">
        <v>0.014</v>
      </c>
      <c r="K331" s="20" t="inlineStr">
        <is>
          <t>No iniciado</t>
        </is>
      </c>
    </row>
    <row r="332">
      <c r="A332" s="20" t="n">
        <v>2439121</v>
      </c>
      <c r="B332" s="20" t="inlineStr">
        <is>
          <t>31IX94I6r2efzgAGrOkEsB</t>
        </is>
      </c>
      <c r="C332" s="20" t="inlineStr">
        <is>
          <t>BUILDINGELEMENTPROXY</t>
        </is>
      </c>
      <c r="D332" s="20" t="inlineStr">
        <is>
          <t>Postensado Anclaje Activo:Anclaje Activo:1528540</t>
        </is>
      </c>
      <c r="E332" s="20" t="n"/>
      <c r="F332" s="20" t="inlineStr">
        <is>
          <t>Estribos</t>
        </is>
      </c>
      <c r="G332" s="20" t="inlineStr">
        <is>
          <t>Margen Izquierda</t>
        </is>
      </c>
      <c r="H332" s="20" t="inlineStr">
        <is>
          <t>Postensado</t>
        </is>
      </c>
      <c r="I332" s="20" t="inlineStr">
        <is>
          <t>POS-MI</t>
        </is>
      </c>
      <c r="J332" s="20" t="n">
        <v>0.014</v>
      </c>
      <c r="K332" s="20" t="inlineStr">
        <is>
          <t>No iniciado</t>
        </is>
      </c>
    </row>
    <row r="333">
      <c r="A333" s="20" t="n">
        <v>2439145</v>
      </c>
      <c r="B333" s="20" t="inlineStr">
        <is>
          <t>31IX94I6r2efzgAGrOkEsA</t>
        </is>
      </c>
      <c r="C333" s="20" t="inlineStr">
        <is>
          <t>BUILDINGELEMENTPROXY</t>
        </is>
      </c>
      <c r="D333" s="20" t="inlineStr">
        <is>
          <t>Postensado Anclaje Activo:Anclaje Activo:1528541</t>
        </is>
      </c>
      <c r="E333" s="20" t="n"/>
      <c r="F333" s="20" t="inlineStr">
        <is>
          <t>Estribos</t>
        </is>
      </c>
      <c r="G333" s="20" t="inlineStr">
        <is>
          <t>Margen Izquierda</t>
        </is>
      </c>
      <c r="H333" s="20" t="inlineStr">
        <is>
          <t>Postensado</t>
        </is>
      </c>
      <c r="I333" s="20" t="inlineStr">
        <is>
          <t>POS-MI</t>
        </is>
      </c>
      <c r="J333" s="20" t="n">
        <v>0.014</v>
      </c>
      <c r="K333" s="20" t="inlineStr">
        <is>
          <t>No iniciado</t>
        </is>
      </c>
    </row>
    <row r="334">
      <c r="A334" s="20" t="n">
        <v>2439169</v>
      </c>
      <c r="B334" s="20" t="inlineStr">
        <is>
          <t>31IX94I6r2efzgAGrOkEs9</t>
        </is>
      </c>
      <c r="C334" s="20" t="inlineStr">
        <is>
          <t>BUILDINGELEMENTPROXY</t>
        </is>
      </c>
      <c r="D334" s="20" t="inlineStr">
        <is>
          <t>Postensado Anclaje Activo:Anclaje Activo:1528542</t>
        </is>
      </c>
      <c r="E334" s="20" t="n"/>
      <c r="F334" s="20" t="inlineStr">
        <is>
          <t>Estribos</t>
        </is>
      </c>
      <c r="G334" s="20" t="inlineStr">
        <is>
          <t>Margen Izquierda</t>
        </is>
      </c>
      <c r="H334" s="20" t="inlineStr">
        <is>
          <t>Postensado</t>
        </is>
      </c>
      <c r="I334" s="20" t="inlineStr">
        <is>
          <t>POS-MI</t>
        </is>
      </c>
      <c r="J334" s="20" t="n">
        <v>0.014</v>
      </c>
      <c r="K334" s="20" t="inlineStr">
        <is>
          <t>No iniciado</t>
        </is>
      </c>
    </row>
    <row r="335">
      <c r="A335" s="20" t="n">
        <v>2439193</v>
      </c>
      <c r="B335" s="20" t="inlineStr">
        <is>
          <t>31IX94I6r2efzgAGrOkEs8</t>
        </is>
      </c>
      <c r="C335" s="20" t="inlineStr">
        <is>
          <t>BUILDINGELEMENTPROXY</t>
        </is>
      </c>
      <c r="D335" s="20" t="inlineStr">
        <is>
          <t>Postensado Anclaje Activo:Anclaje Activo:1528543</t>
        </is>
      </c>
      <c r="E335" s="20" t="n"/>
      <c r="F335" s="20" t="inlineStr">
        <is>
          <t>Estribos</t>
        </is>
      </c>
      <c r="G335" s="20" t="inlineStr">
        <is>
          <t>Margen Izquierda</t>
        </is>
      </c>
      <c r="H335" s="20" t="inlineStr">
        <is>
          <t>Postensado</t>
        </is>
      </c>
      <c r="I335" s="20" t="inlineStr">
        <is>
          <t>POS-MI</t>
        </is>
      </c>
      <c r="J335" s="20" t="n">
        <v>0.014</v>
      </c>
      <c r="K335" s="20" t="inlineStr">
        <is>
          <t>No iniciado</t>
        </is>
      </c>
    </row>
    <row r="336">
      <c r="A336" s="20" t="n">
        <v>2439217</v>
      </c>
      <c r="B336" s="20" t="inlineStr">
        <is>
          <t>31IX94I6r2efzgAGrOkEst</t>
        </is>
      </c>
      <c r="C336" s="20" t="inlineStr">
        <is>
          <t>BUILDINGELEMENTPROXY</t>
        </is>
      </c>
      <c r="D336" s="20" t="inlineStr">
        <is>
          <t>Postensado Anclaje Activo:Anclaje Activo:1528544</t>
        </is>
      </c>
      <c r="E336" s="20" t="n"/>
      <c r="F336" s="20" t="inlineStr">
        <is>
          <t>Estribos</t>
        </is>
      </c>
      <c r="G336" s="20" t="inlineStr">
        <is>
          <t>Margen Izquierda</t>
        </is>
      </c>
      <c r="H336" s="20" t="inlineStr">
        <is>
          <t>Postensado</t>
        </is>
      </c>
      <c r="I336" s="20" t="inlineStr">
        <is>
          <t>POS-MI</t>
        </is>
      </c>
      <c r="J336" s="20" t="n">
        <v>0.014</v>
      </c>
      <c r="K336" s="20" t="inlineStr">
        <is>
          <t>No iniciado</t>
        </is>
      </c>
    </row>
    <row r="337">
      <c r="A337" s="20" t="n">
        <v>2449799</v>
      </c>
      <c r="B337" s="20" t="inlineStr">
        <is>
          <t>31IX94I6r2efzgAGrOkEss</t>
        </is>
      </c>
      <c r="C337" s="20" t="inlineStr">
        <is>
          <t>BUILDINGELEMENTPROXY</t>
        </is>
      </c>
      <c r="D337" s="20" t="inlineStr">
        <is>
          <t>Postensado Anclaje Pasivo:Postensado Anclaje Pasivo:1528545</t>
        </is>
      </c>
      <c r="E337" s="20" t="n"/>
      <c r="F337" s="20" t="inlineStr">
        <is>
          <t>Estribos</t>
        </is>
      </c>
      <c r="G337" s="20" t="inlineStr">
        <is>
          <t>Margen Izquierda</t>
        </is>
      </c>
      <c r="H337" s="20" t="inlineStr">
        <is>
          <t>Postensado</t>
        </is>
      </c>
      <c r="I337" s="20" t="inlineStr">
        <is>
          <t>POS-MI</t>
        </is>
      </c>
      <c r="J337" s="20" t="n">
        <v>0.004</v>
      </c>
      <c r="K337" s="20" t="inlineStr"/>
    </row>
    <row r="338">
      <c r="A338" s="20" t="n">
        <v>2449822</v>
      </c>
      <c r="B338" s="20" t="inlineStr">
        <is>
          <t>31IX94I6r2efzgAGrOkEsq</t>
        </is>
      </c>
      <c r="C338" s="20" t="inlineStr">
        <is>
          <t>BUILDINGELEMENTPROXY</t>
        </is>
      </c>
      <c r="D338" s="20" t="inlineStr">
        <is>
          <t>Postensado Anclaje Pasivo:Postensado Anclaje Pasivo:1528547</t>
        </is>
      </c>
      <c r="E338" s="20" t="n"/>
      <c r="F338" s="20" t="inlineStr">
        <is>
          <t>Estribos</t>
        </is>
      </c>
      <c r="G338" s="20" t="inlineStr">
        <is>
          <t>Margen Izquierda</t>
        </is>
      </c>
      <c r="H338" s="20" t="inlineStr">
        <is>
          <t>Postensado</t>
        </is>
      </c>
      <c r="I338" s="20" t="inlineStr">
        <is>
          <t>POS-MI</t>
        </is>
      </c>
      <c r="J338" s="20" t="n">
        <v>0.004</v>
      </c>
      <c r="K338" s="20" t="inlineStr"/>
    </row>
    <row r="339">
      <c r="A339" s="20" t="n">
        <v>2449845</v>
      </c>
      <c r="B339" s="20" t="inlineStr">
        <is>
          <t>31IX94I6r2efzgAGrOkEso</t>
        </is>
      </c>
      <c r="C339" s="20" t="inlineStr">
        <is>
          <t>BUILDINGELEMENTPROXY</t>
        </is>
      </c>
      <c r="D339" s="20" t="inlineStr">
        <is>
          <t>Postensado Anclaje Pasivo:Postensado Anclaje Pasivo:1528549</t>
        </is>
      </c>
      <c r="E339" s="20" t="n"/>
      <c r="F339" s="20" t="inlineStr">
        <is>
          <t>Estribos</t>
        </is>
      </c>
      <c r="G339" s="20" t="inlineStr">
        <is>
          <t>Margen Izquierda</t>
        </is>
      </c>
      <c r="H339" s="20" t="inlineStr">
        <is>
          <t>Postensado</t>
        </is>
      </c>
      <c r="I339" s="20" t="inlineStr">
        <is>
          <t>POS-MI</t>
        </is>
      </c>
      <c r="J339" s="20" t="n">
        <v>0.004</v>
      </c>
      <c r="K339" s="20" t="inlineStr">
        <is>
          <t>Ejecutado</t>
        </is>
      </c>
    </row>
    <row r="340">
      <c r="A340" s="20" t="n">
        <v>2449868</v>
      </c>
      <c r="B340" s="20" t="inlineStr">
        <is>
          <t>31IX94I6r2efzgAGrOkEsn</t>
        </is>
      </c>
      <c r="C340" s="20" t="inlineStr">
        <is>
          <t>BUILDINGELEMENTPROXY</t>
        </is>
      </c>
      <c r="D340" s="20" t="inlineStr">
        <is>
          <t>Postensado Anclaje Pasivo:Postensado Anclaje Pasivo:1528550</t>
        </is>
      </c>
      <c r="E340" s="20" t="n"/>
      <c r="F340" s="20" t="inlineStr">
        <is>
          <t>Estribos</t>
        </is>
      </c>
      <c r="G340" s="20" t="inlineStr">
        <is>
          <t>Margen Izquierda</t>
        </is>
      </c>
      <c r="H340" s="20" t="inlineStr">
        <is>
          <t>Postensado</t>
        </is>
      </c>
      <c r="I340" s="20" t="inlineStr">
        <is>
          <t>POS-MI</t>
        </is>
      </c>
      <c r="J340" s="20" t="n">
        <v>0.004</v>
      </c>
      <c r="K340" s="20" t="inlineStr">
        <is>
          <t>Ejecutado</t>
        </is>
      </c>
    </row>
    <row r="341">
      <c r="A341" s="20" t="n">
        <v>2449891</v>
      </c>
      <c r="B341" s="20" t="inlineStr">
        <is>
          <t>31IX94I6r2efzgAGrOkEsm</t>
        </is>
      </c>
      <c r="C341" s="20" t="inlineStr">
        <is>
          <t>BUILDINGELEMENTPROXY</t>
        </is>
      </c>
      <c r="D341" s="20" t="inlineStr">
        <is>
          <t>Postensado Anclaje Pasivo:Postensado Anclaje Pasivo:1528551</t>
        </is>
      </c>
      <c r="E341" s="20" t="n"/>
      <c r="F341" s="20" t="inlineStr">
        <is>
          <t>Estribos</t>
        </is>
      </c>
      <c r="G341" s="20" t="inlineStr">
        <is>
          <t>Margen Izquierda</t>
        </is>
      </c>
      <c r="H341" s="20" t="inlineStr">
        <is>
          <t>Postensado</t>
        </is>
      </c>
      <c r="I341" s="20" t="inlineStr">
        <is>
          <t>POS-MI</t>
        </is>
      </c>
      <c r="J341" s="20" t="n">
        <v>0.004</v>
      </c>
      <c r="K341" s="20" t="inlineStr">
        <is>
          <t>Ejecutado</t>
        </is>
      </c>
    </row>
    <row r="342">
      <c r="A342" s="20" t="n">
        <v>2449914</v>
      </c>
      <c r="B342" s="20" t="inlineStr">
        <is>
          <t>31IX94I6r2efzgAGrOkEs$</t>
        </is>
      </c>
      <c r="C342" s="20" t="inlineStr">
        <is>
          <t>BUILDINGELEMENTPROXY</t>
        </is>
      </c>
      <c r="D342" s="20" t="inlineStr">
        <is>
          <t>Postensado Anclaje Pasivo:Postensado Anclaje Pasivo:1528552</t>
        </is>
      </c>
      <c r="E342" s="20" t="n"/>
      <c r="F342" s="20" t="inlineStr">
        <is>
          <t>Estribos</t>
        </is>
      </c>
      <c r="G342" s="20" t="inlineStr">
        <is>
          <t>Margen Izquierda</t>
        </is>
      </c>
      <c r="H342" s="20" t="inlineStr">
        <is>
          <t>Postensado</t>
        </is>
      </c>
      <c r="I342" s="20" t="inlineStr">
        <is>
          <t>POS-MI</t>
        </is>
      </c>
      <c r="J342" s="20" t="n">
        <v>0.004</v>
      </c>
      <c r="K342" s="20" t="inlineStr">
        <is>
          <t>Ejecutado</t>
        </is>
      </c>
    </row>
    <row r="343">
      <c r="A343" s="20" t="n">
        <v>2449937</v>
      </c>
      <c r="B343" s="20" t="inlineStr">
        <is>
          <t>31IX94I6r2efzgAGrOkEs_</t>
        </is>
      </c>
      <c r="C343" s="20" t="inlineStr">
        <is>
          <t>BUILDINGELEMENTPROXY</t>
        </is>
      </c>
      <c r="D343" s="20" t="inlineStr">
        <is>
          <t>Postensado Anclaje Pasivo:Postensado Anclaje Pasivo:1528553</t>
        </is>
      </c>
      <c r="E343" s="20" t="n"/>
      <c r="F343" s="20" t="inlineStr">
        <is>
          <t>Estribos</t>
        </is>
      </c>
      <c r="G343" s="20" t="inlineStr">
        <is>
          <t>Margen Izquierda</t>
        </is>
      </c>
      <c r="H343" s="20" t="inlineStr">
        <is>
          <t>Postensado</t>
        </is>
      </c>
      <c r="I343" s="20" t="inlineStr">
        <is>
          <t>POS-MI</t>
        </is>
      </c>
      <c r="J343" s="20" t="n">
        <v>0.004</v>
      </c>
      <c r="K343" s="20" t="inlineStr">
        <is>
          <t>Ejecutado</t>
        </is>
      </c>
    </row>
    <row r="344">
      <c r="A344" s="20" t="n">
        <v>2449960</v>
      </c>
      <c r="B344" s="20" t="inlineStr">
        <is>
          <t>31IX94I6r2efzgAGrOkEsz</t>
        </is>
      </c>
      <c r="C344" s="20" t="inlineStr">
        <is>
          <t>BUILDINGELEMENTPROXY</t>
        </is>
      </c>
      <c r="D344" s="20" t="inlineStr">
        <is>
          <t>Postensado Anclaje Pasivo:Postensado Anclaje Pasivo:1528554</t>
        </is>
      </c>
      <c r="E344" s="20" t="n"/>
      <c r="F344" s="20" t="inlineStr">
        <is>
          <t>Estribos</t>
        </is>
      </c>
      <c r="G344" s="20" t="inlineStr">
        <is>
          <t>Margen Izquierda</t>
        </is>
      </c>
      <c r="H344" s="20" t="inlineStr">
        <is>
          <t>Postensado</t>
        </is>
      </c>
      <c r="I344" s="20" t="inlineStr">
        <is>
          <t>POS-MI</t>
        </is>
      </c>
      <c r="J344" s="20" t="n">
        <v>0.004</v>
      </c>
      <c r="K344" s="20" t="inlineStr">
        <is>
          <t>Ejecutado</t>
        </is>
      </c>
    </row>
    <row r="345">
      <c r="A345" s="20" t="n">
        <v>205</v>
      </c>
      <c r="B345" s="20" t="inlineStr">
        <is>
          <t>1eNJRIYerEFfvMqFI4H3_S</t>
        </is>
      </c>
      <c r="C345" s="20" t="inlineStr">
        <is>
          <t>SLAB</t>
        </is>
      </c>
      <c r="D345" s="20" t="inlineStr">
        <is>
          <t>Losa de cimentación:Estribo_Solado_e50_fc100:400092</t>
        </is>
      </c>
      <c r="E345" s="20" t="inlineStr">
        <is>
          <t>ED-S1</t>
        </is>
      </c>
      <c r="F345" s="20" t="inlineStr">
        <is>
          <t>Estribos</t>
        </is>
      </c>
      <c r="G345" s="20" t="inlineStr">
        <is>
          <t>Margen Derecha</t>
        </is>
      </c>
      <c r="H345" s="20" t="inlineStr">
        <is>
          <t>Solado</t>
        </is>
      </c>
      <c r="I345" s="20" t="inlineStr">
        <is>
          <t>SOL-MD</t>
        </is>
      </c>
      <c r="J345" s="20" t="n">
        <v>18.04</v>
      </c>
      <c r="K345" s="20" t="inlineStr">
        <is>
          <t>Ejecutado</t>
        </is>
      </c>
    </row>
    <row r="346">
      <c r="A346" s="20" t="n">
        <v>916</v>
      </c>
      <c r="B346" s="20" t="inlineStr">
        <is>
          <t>32jeHO7sHEj8SAgxYWKKwG</t>
        </is>
      </c>
      <c r="C346" s="20" t="inlineStr">
        <is>
          <t>SLAB</t>
        </is>
      </c>
      <c r="D346" s="20" t="inlineStr">
        <is>
          <t>Losa de cimentación:Estribo_Solado_e50_fc100:417893</t>
        </is>
      </c>
      <c r="E346" s="20" t="inlineStr">
        <is>
          <t>EI-S1</t>
        </is>
      </c>
      <c r="F346" s="20" t="inlineStr">
        <is>
          <t>Estribos</t>
        </is>
      </c>
      <c r="G346" s="20" t="inlineStr">
        <is>
          <t>Margen Izquierda</t>
        </is>
      </c>
      <c r="H346" s="20" t="inlineStr">
        <is>
          <t>Solado</t>
        </is>
      </c>
      <c r="I346" s="20" t="inlineStr">
        <is>
          <t>SOL-MI</t>
        </is>
      </c>
      <c r="J346" s="20" t="n">
        <v>18.04</v>
      </c>
      <c r="K346" s="20" t="inlineStr">
        <is>
          <t>Ejecutado</t>
        </is>
      </c>
    </row>
    <row r="347">
      <c r="A347" s="20" t="n">
        <v>2465107</v>
      </c>
      <c r="B347" s="20" t="inlineStr">
        <is>
          <t>2T9xqUczP7QR2xG4LIxQWG</t>
        </is>
      </c>
      <c r="C347" s="20" t="inlineStr">
        <is>
          <t>BEAM</t>
        </is>
      </c>
      <c r="D347" s="20" t="inlineStr">
        <is>
          <t>Diafragma Extremos :D1 - Diafragma Extremos:1531785</t>
        </is>
      </c>
      <c r="E347" s="20" t="n"/>
      <c r="F347" s="20" t="inlineStr">
        <is>
          <t>Tablero</t>
        </is>
      </c>
      <c r="G347" s="20" t="inlineStr">
        <is>
          <t>Extremos</t>
        </is>
      </c>
      <c r="H347" s="20" t="inlineStr">
        <is>
          <t>Diafragma</t>
        </is>
      </c>
      <c r="I347" s="20" t="inlineStr">
        <is>
          <t>TAB-MD-D1</t>
        </is>
      </c>
      <c r="J347" s="20" t="n">
        <v>112.952</v>
      </c>
      <c r="K347" s="20" t="inlineStr">
        <is>
          <t>No iniciado</t>
        </is>
      </c>
    </row>
    <row r="348">
      <c r="A348" s="20" t="n">
        <v>2465192</v>
      </c>
      <c r="B348" s="20" t="inlineStr">
        <is>
          <t>2T9xqUczP7QR2xG4LIxP7M</t>
        </is>
      </c>
      <c r="C348" s="20" t="inlineStr">
        <is>
          <t>BEAM</t>
        </is>
      </c>
      <c r="D348" s="20" t="inlineStr">
        <is>
          <t>Tablero Sobre Estribos:D2 - Tablero Sobre Estribos:1533519</t>
        </is>
      </c>
      <c r="E348" s="20" t="n"/>
      <c r="F348" s="20" t="inlineStr">
        <is>
          <t>Tablero</t>
        </is>
      </c>
      <c r="G348" s="20" t="inlineStr">
        <is>
          <t>SobreEstribos</t>
        </is>
      </c>
      <c r="H348" s="20" t="inlineStr">
        <is>
          <t>Tablero</t>
        </is>
      </c>
      <c r="I348" s="20" t="inlineStr">
        <is>
          <t>TAB-MD-D2</t>
        </is>
      </c>
      <c r="J348" s="20" t="n">
        <v>140.486</v>
      </c>
      <c r="K348" s="20" t="inlineStr">
        <is>
          <t>No iniciado</t>
        </is>
      </c>
    </row>
    <row r="349">
      <c r="A349" s="20" t="n">
        <v>2465269</v>
      </c>
      <c r="B349" s="20" t="inlineStr">
        <is>
          <t>2T9xqUczP7QR2xG4LIxPnr</t>
        </is>
      </c>
      <c r="C349" s="20" t="inlineStr">
        <is>
          <t>BEAM</t>
        </is>
      </c>
      <c r="D349" s="20" t="inlineStr">
        <is>
          <t>Diafragma Sobre Estribos:D3 - Tablero Sobre Estribos:1534956</t>
        </is>
      </c>
      <c r="E349" s="20" t="n"/>
      <c r="F349" s="20" t="inlineStr">
        <is>
          <t>Tablero</t>
        </is>
      </c>
      <c r="G349" s="20" t="inlineStr">
        <is>
          <t>SobreEstribos</t>
        </is>
      </c>
      <c r="H349" s="20" t="inlineStr">
        <is>
          <t>Diafragma</t>
        </is>
      </c>
      <c r="I349" s="20" t="inlineStr">
        <is>
          <t>TAB-MD-D3</t>
        </is>
      </c>
      <c r="J349" s="20" t="n">
        <v>112.694</v>
      </c>
      <c r="K349" s="20" t="inlineStr">
        <is>
          <t>No iniciado</t>
        </is>
      </c>
    </row>
    <row r="350">
      <c r="A350" s="20" t="n">
        <v>2465806</v>
      </c>
      <c r="B350" s="20" t="inlineStr">
        <is>
          <t>0zz42YqZrAOOnIxzBmmusN</t>
        </is>
      </c>
      <c r="C350" s="20" t="inlineStr">
        <is>
          <t>BEAM</t>
        </is>
      </c>
      <c r="D350" s="20" t="inlineStr">
        <is>
          <t>Tablero Luz Central 1de2:D4 - Tablero Luz Central:1536902</t>
        </is>
      </c>
      <c r="E350" s="20" t="n"/>
      <c r="F350" s="20" t="inlineStr">
        <is>
          <t>Tablero</t>
        </is>
      </c>
      <c r="G350" s="20" t="inlineStr">
        <is>
          <t>LuzCentral</t>
        </is>
      </c>
      <c r="H350" s="20" t="inlineStr">
        <is>
          <t>Tablero</t>
        </is>
      </c>
      <c r="I350" s="20" t="inlineStr">
        <is>
          <t>TAB-MD-D4</t>
        </is>
      </c>
      <c r="J350" s="20" t="n">
        <v>243.747</v>
      </c>
      <c r="K350" s="20" t="inlineStr">
        <is>
          <t>No iniciado</t>
        </is>
      </c>
    </row>
    <row r="351">
      <c r="A351" s="20" t="n">
        <v>2466351</v>
      </c>
      <c r="B351" s="20" t="inlineStr">
        <is>
          <t>0zz42YqZrAOOnIxzBmmuJN</t>
        </is>
      </c>
      <c r="C351" s="20" t="inlineStr">
        <is>
          <t>BEAM</t>
        </is>
      </c>
      <c r="D351" s="20" t="inlineStr">
        <is>
          <t>Tablero Luz Central 2de2:D5 - Tablero Luz Central:1538758</t>
        </is>
      </c>
      <c r="E351" s="20" t="n"/>
      <c r="F351" s="20" t="inlineStr">
        <is>
          <t>Tablero</t>
        </is>
      </c>
      <c r="G351" s="20" t="inlineStr">
        <is>
          <t>LuzCentral</t>
        </is>
      </c>
      <c r="H351" s="20" t="inlineStr">
        <is>
          <t>Tablero</t>
        </is>
      </c>
      <c r="I351" s="20" t="inlineStr">
        <is>
          <t>TAB-MD-D5</t>
        </is>
      </c>
      <c r="J351" s="20" t="n">
        <v>207.453</v>
      </c>
      <c r="K351" s="20" t="inlineStr">
        <is>
          <t>No iniciado</t>
        </is>
      </c>
    </row>
    <row r="352">
      <c r="A352" s="20" t="n">
        <v>2466425</v>
      </c>
      <c r="B352" s="20" t="inlineStr">
        <is>
          <t>1LoVHTyyvD2BgU1Va3yCH4</t>
        </is>
      </c>
      <c r="C352" s="20" t="inlineStr">
        <is>
          <t>BEAM</t>
        </is>
      </c>
      <c r="D352" s="20" t="inlineStr">
        <is>
          <t>Diafragma Extremos :D1 - Diafragma Extremos:1545316</t>
        </is>
      </c>
      <c r="E352" s="20" t="n"/>
      <c r="F352" s="20" t="inlineStr">
        <is>
          <t>Tablero</t>
        </is>
      </c>
      <c r="G352" s="20" t="inlineStr">
        <is>
          <t>Extremos</t>
        </is>
      </c>
      <c r="H352" s="20" t="inlineStr">
        <is>
          <t>Diafragma</t>
        </is>
      </c>
      <c r="I352" s="20" t="inlineStr">
        <is>
          <t>TAB-MI-D1</t>
        </is>
      </c>
      <c r="J352" s="20" t="n">
        <v>112.952</v>
      </c>
      <c r="K352" s="20" t="inlineStr">
        <is>
          <t>No iniciado</t>
        </is>
      </c>
    </row>
    <row r="353">
      <c r="A353" s="20" t="n">
        <v>2466492</v>
      </c>
      <c r="B353" s="20" t="inlineStr">
        <is>
          <t>1LoVHTyyvD2BgU1Va3yCH5</t>
        </is>
      </c>
      <c r="C353" s="20" t="inlineStr">
        <is>
          <t>BEAM</t>
        </is>
      </c>
      <c r="D353" s="20" t="inlineStr">
        <is>
          <t>Tablero Sobre Estribos:D2 - Tablero Sobre Estribos:1545317</t>
        </is>
      </c>
      <c r="E353" s="20" t="n"/>
      <c r="F353" s="20" t="inlineStr">
        <is>
          <t>Tablero</t>
        </is>
      </c>
      <c r="G353" s="20" t="inlineStr">
        <is>
          <t>SobreEstribos</t>
        </is>
      </c>
      <c r="H353" s="20" t="inlineStr">
        <is>
          <t>Tablero</t>
        </is>
      </c>
      <c r="I353" s="20" t="inlineStr">
        <is>
          <t>TAB-MI-D2</t>
        </is>
      </c>
      <c r="J353" s="20" t="n">
        <v>140.486</v>
      </c>
      <c r="K353" s="20" t="inlineStr">
        <is>
          <t>No iniciado</t>
        </is>
      </c>
    </row>
    <row r="354">
      <c r="A354" s="20" t="n">
        <v>2466552</v>
      </c>
      <c r="B354" s="20" t="inlineStr">
        <is>
          <t>1LoVHTyyvD2BgU1Va3yCH6</t>
        </is>
      </c>
      <c r="C354" s="20" t="inlineStr">
        <is>
          <t>BEAM</t>
        </is>
      </c>
      <c r="D354" s="20" t="inlineStr">
        <is>
          <t>Diafragma Sobre Estribos:D3 - Tablero Sobre Estribos:1545318</t>
        </is>
      </c>
      <c r="E354" s="20" t="n"/>
      <c r="F354" s="20" t="inlineStr">
        <is>
          <t>Tablero</t>
        </is>
      </c>
      <c r="G354" s="20" t="inlineStr">
        <is>
          <t>SobreEstribos</t>
        </is>
      </c>
      <c r="H354" s="20" t="inlineStr">
        <is>
          <t>Diafragma</t>
        </is>
      </c>
      <c r="I354" s="20" t="inlineStr">
        <is>
          <t>TAB-MI-D3</t>
        </is>
      </c>
      <c r="J354" s="20" t="n">
        <v>112.694</v>
      </c>
      <c r="K354" s="20" t="inlineStr">
        <is>
          <t>No iniciado</t>
        </is>
      </c>
    </row>
    <row r="355">
      <c r="A355" s="20" t="n">
        <v>2467075</v>
      </c>
      <c r="B355" s="20" t="inlineStr">
        <is>
          <t>1LoVHTyyvD2BgU1Va3yCH7</t>
        </is>
      </c>
      <c r="C355" s="20" t="inlineStr">
        <is>
          <t>BEAM</t>
        </is>
      </c>
      <c r="D355" s="20" t="inlineStr">
        <is>
          <t>Tablero Luz Central 1de2:D4 - Tablero Luz Central:1545319</t>
        </is>
      </c>
      <c r="E355" s="20" t="n"/>
      <c r="F355" s="20" t="inlineStr">
        <is>
          <t>Tablero</t>
        </is>
      </c>
      <c r="G355" s="20" t="inlineStr">
        <is>
          <t>LuzCentral</t>
        </is>
      </c>
      <c r="H355" s="20" t="inlineStr">
        <is>
          <t>Tablero</t>
        </is>
      </c>
      <c r="I355" s="20" t="inlineStr">
        <is>
          <t>TAB-MI-D4</t>
        </is>
      </c>
      <c r="J355" s="20" t="n">
        <v>243.747</v>
      </c>
      <c r="K355" s="20" t="inlineStr">
        <is>
          <t>No iniciado</t>
        </is>
      </c>
    </row>
    <row r="356">
      <c r="A356" s="20" t="n">
        <v>2467599</v>
      </c>
      <c r="B356" s="20" t="inlineStr">
        <is>
          <t>1LoVHTyyvD2BgU1Va3yCH8</t>
        </is>
      </c>
      <c r="C356" s="20" t="inlineStr">
        <is>
          <t>BEAM</t>
        </is>
      </c>
      <c r="D356" s="20" t="inlineStr">
        <is>
          <t>Tablero Luz Central 2de2:D5 - Tablero Luz Central:1545320</t>
        </is>
      </c>
      <c r="E356" s="20" t="n"/>
      <c r="F356" s="20" t="inlineStr">
        <is>
          <t>Tablero</t>
        </is>
      </c>
      <c r="G356" s="20" t="inlineStr">
        <is>
          <t>LuzCentral</t>
        </is>
      </c>
      <c r="H356" s="20" t="inlineStr">
        <is>
          <t>Tablero</t>
        </is>
      </c>
      <c r="I356" s="20" t="inlineStr">
        <is>
          <t>TAB-MI-D5</t>
        </is>
      </c>
      <c r="J356" s="20" t="n">
        <v>207.453</v>
      </c>
      <c r="K356" s="20" t="inlineStr">
        <is>
          <t>No iniciado</t>
        </is>
      </c>
    </row>
  </sheetData>
  <autoFilter ref="A4:K3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2026-09-20T14:33:00Z</dcterms:created>
  <dcterms:modified xsi:type="dcterms:W3CDTF">2026-09-22T02:15:08Z</dcterms:modified>
</cp:coreProperties>
</file>